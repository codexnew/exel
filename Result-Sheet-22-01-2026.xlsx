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IST\Desktop\Abu Hasan\"/>
    </mc:Choice>
  </mc:AlternateContent>
  <xr:revisionPtr revIDLastSave="0" documentId="13_ncr:1_{D3BA8269-47AD-4CC4-AA58-2E9B1AB358CE}" xr6:coauthVersionLast="47" xr6:coauthVersionMax="47" xr10:uidLastSave="{00000000-0000-0000-0000-000000000000}"/>
  <bookViews>
    <workbookView xWindow="30" yWindow="30" windowWidth="20460" windowHeight="10890" activeTab="3" xr2:uid="{00000000-000D-0000-FFFF-FFFF00000000}"/>
  </bookViews>
  <sheets>
    <sheet name="Sheet1" sheetId="1" r:id="rId1"/>
    <sheet name="Sheet2" sheetId="2" r:id="rId2"/>
    <sheet name="Sheet1 (2)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4" l="1"/>
  <c r="C14" i="4"/>
  <c r="C11" i="4"/>
  <c r="C13" i="4"/>
  <c r="C12" i="4"/>
  <c r="C10" i="4"/>
  <c r="I8" i="4"/>
  <c r="H8" i="4"/>
  <c r="F8" i="4"/>
  <c r="D8" i="4"/>
  <c r="J8" i="4" s="1"/>
  <c r="I7" i="4"/>
  <c r="H7" i="4"/>
  <c r="F7" i="4"/>
  <c r="D7" i="4"/>
  <c r="J7" i="4" s="1"/>
  <c r="I6" i="4"/>
  <c r="H6" i="4"/>
  <c r="F6" i="4"/>
  <c r="D6" i="4"/>
  <c r="J6" i="4" s="1"/>
  <c r="I5" i="4"/>
  <c r="H5" i="4"/>
  <c r="F5" i="4"/>
  <c r="D5" i="4"/>
  <c r="J5" i="4" s="1"/>
  <c r="I4" i="4"/>
  <c r="H4" i="4"/>
  <c r="F4" i="4"/>
  <c r="D4" i="4"/>
  <c r="D14" i="3"/>
  <c r="M6" i="3"/>
  <c r="M7" i="3"/>
  <c r="M8" i="3"/>
  <c r="M9" i="3"/>
  <c r="M5" i="3"/>
  <c r="L6" i="3"/>
  <c r="L7" i="3"/>
  <c r="L8" i="3"/>
  <c r="L9" i="3"/>
  <c r="L5" i="3"/>
  <c r="K5" i="3"/>
  <c r="K6" i="3"/>
  <c r="K7" i="3"/>
  <c r="K8" i="3"/>
  <c r="K9" i="3"/>
  <c r="J6" i="3"/>
  <c r="J7" i="3"/>
  <c r="J8" i="3"/>
  <c r="J9" i="3"/>
  <c r="J5" i="3"/>
  <c r="I5" i="3"/>
  <c r="I6" i="3"/>
  <c r="I7" i="3"/>
  <c r="I8" i="3"/>
  <c r="I9" i="3"/>
  <c r="H6" i="3"/>
  <c r="H7" i="3"/>
  <c r="H8" i="3"/>
  <c r="H9" i="3"/>
  <c r="H5" i="3"/>
  <c r="F6" i="3"/>
  <c r="F7" i="3"/>
  <c r="F8" i="3"/>
  <c r="F9" i="3"/>
  <c r="F5" i="3"/>
  <c r="D5" i="3"/>
  <c r="D6" i="3"/>
  <c r="D7" i="3"/>
  <c r="D8" i="3"/>
  <c r="D9" i="3"/>
  <c r="K5" i="1"/>
  <c r="M5" i="1" s="1"/>
  <c r="K14" i="1"/>
  <c r="K15" i="1"/>
  <c r="K16" i="1"/>
  <c r="K17" i="1"/>
  <c r="K13" i="1"/>
  <c r="J5" i="1"/>
  <c r="L8" i="1" s="1"/>
  <c r="D13" i="1"/>
  <c r="M6" i="1"/>
  <c r="M7" i="1"/>
  <c r="M8" i="1"/>
  <c r="M9" i="1"/>
  <c r="L6" i="1"/>
  <c r="L7" i="1"/>
  <c r="L9" i="1"/>
  <c r="L5" i="1"/>
  <c r="K6" i="1"/>
  <c r="K7" i="1"/>
  <c r="K8" i="1"/>
  <c r="K9" i="1"/>
  <c r="J6" i="1"/>
  <c r="J7" i="1"/>
  <c r="J8" i="1"/>
  <c r="J9" i="1"/>
  <c r="I5" i="1"/>
  <c r="I6" i="1"/>
  <c r="I7" i="1"/>
  <c r="I8" i="1"/>
  <c r="I9" i="1"/>
  <c r="H6" i="1"/>
  <c r="H7" i="1"/>
  <c r="H8" i="1"/>
  <c r="H9" i="1"/>
  <c r="H5" i="1"/>
  <c r="F6" i="1"/>
  <c r="F7" i="1"/>
  <c r="F8" i="1"/>
  <c r="F9" i="1"/>
  <c r="F5" i="1"/>
  <c r="D5" i="1"/>
  <c r="D6" i="1"/>
  <c r="D7" i="1"/>
  <c r="D8" i="1"/>
  <c r="D9" i="1"/>
  <c r="M5" i="4" l="1"/>
  <c r="L5" i="4"/>
  <c r="K5" i="4"/>
  <c r="M7" i="4"/>
  <c r="L7" i="4"/>
  <c r="K7" i="4"/>
  <c r="M4" i="4"/>
  <c r="L4" i="4"/>
  <c r="K4" i="4"/>
  <c r="M6" i="4"/>
  <c r="L6" i="4"/>
  <c r="K6" i="4"/>
  <c r="M8" i="4"/>
  <c r="L8" i="4"/>
  <c r="K8" i="4"/>
  <c r="D13" i="3"/>
</calcChain>
</file>

<file path=xl/sharedStrings.xml><?xml version="1.0" encoding="utf-8"?>
<sst xmlns="http://schemas.openxmlformats.org/spreadsheetml/2006/main" count="91" uniqueCount="32">
  <si>
    <t>Student Result Sheet</t>
  </si>
  <si>
    <t>result for the final examnition 2025</t>
  </si>
  <si>
    <t>Student ID</t>
  </si>
  <si>
    <t>Grade
point</t>
  </si>
  <si>
    <t>Math</t>
  </si>
  <si>
    <t xml:space="preserve">Student
 Name </t>
  </si>
  <si>
    <t>ICT</t>
  </si>
  <si>
    <t>Marks</t>
  </si>
  <si>
    <t>Bangla</t>
  </si>
  <si>
    <t>Total</t>
  </si>
  <si>
    <t>GPA</t>
  </si>
  <si>
    <t>Latter
Grade</t>
  </si>
  <si>
    <t>Rank</t>
  </si>
  <si>
    <t>Pass/Faill
/Absent</t>
  </si>
  <si>
    <t>A</t>
  </si>
  <si>
    <t>B</t>
  </si>
  <si>
    <t>C</t>
  </si>
  <si>
    <t>D</t>
  </si>
  <si>
    <t>E</t>
  </si>
  <si>
    <t>AB</t>
  </si>
  <si>
    <t xml:space="preserve">Vlook Table </t>
  </si>
  <si>
    <t>Helper table</t>
  </si>
  <si>
    <t>S10001</t>
  </si>
  <si>
    <t>S10002</t>
  </si>
  <si>
    <t>S10003</t>
  </si>
  <si>
    <t>S10004</t>
  </si>
  <si>
    <t>S10005</t>
  </si>
  <si>
    <t>EN10001</t>
  </si>
  <si>
    <t>EN10002</t>
  </si>
  <si>
    <t>EN10003</t>
  </si>
  <si>
    <t>EN10004</t>
  </si>
  <si>
    <t>EN10005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</si>
</sst>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7"/>
      <color theme="1"/>
      <name val="Arial"/>
      <family val="2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Sheet1!$K$12:$K$15</c:f>
              <c:strCache>
                <c:ptCount val="4"/>
                <c:pt idx="0">
                  <c:v>Helper table</c:v>
                </c:pt>
                <c:pt idx="1">
                  <c:v>0</c:v>
                </c:pt>
                <c:pt idx="2">
                  <c:v>Absent</c:v>
                </c:pt>
                <c:pt idx="3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Sheet1!$J$16:$J$17</c:f>
              <c:strCache>
                <c:ptCount val="2"/>
                <c:pt idx="0">
                  <c:v>D</c:v>
                </c:pt>
                <c:pt idx="1">
                  <c:v>E</c:v>
                </c:pt>
              </c:strCache>
            </c:strRef>
          </c:cat>
          <c:val>
            <c:numRef>
              <c:f>Sheet1!$K$16:$K$17</c:f>
              <c:numCache>
                <c:formatCode>General</c:formatCode>
                <c:ptCount val="2"/>
                <c:pt idx="0">
                  <c:v>3</c:v>
                </c:pt>
                <c:pt idx="1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7-4329-83F9-A3143809C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28753280"/>
        <c:axId val="528749680"/>
      </c:barChart>
      <c:catAx>
        <c:axId val="52875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49680"/>
        <c:crosses val="autoZero"/>
        <c:auto val="1"/>
        <c:lblAlgn val="ctr"/>
        <c:lblOffset val="100"/>
        <c:noMultiLvlLbl val="0"/>
      </c:catAx>
      <c:valAx>
        <c:axId val="52874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5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'Sheet1 (2)'!$J$3</c:f>
              <c:strCache>
                <c:ptCount val="1"/>
                <c:pt idx="0">
                  <c:v>GPA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'Sheet1 (2)'!$B$4:$B$9</c:f>
              <c:strCache>
                <c:ptCount val="6"/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</c:strCache>
            </c:strRef>
          </c:cat>
          <c:val>
            <c:numRef>
              <c:f>'Sheet1 (2)'!$J$4:$J$9</c:f>
              <c:numCache>
                <c:formatCode>General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5-4832-B0FE-2608452D8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9390600"/>
        <c:axId val="399395280"/>
      </c:barChart>
      <c:catAx>
        <c:axId val="399390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95280"/>
        <c:crosses val="autoZero"/>
        <c:auto val="1"/>
        <c:lblAlgn val="ctr"/>
        <c:lblOffset val="100"/>
        <c:noMultiLvlLbl val="0"/>
      </c:catAx>
      <c:valAx>
        <c:axId val="39939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90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591984</xdr:colOff>
      <xdr:row>13</xdr:row>
      <xdr:rowOff>112661</xdr:rowOff>
    </xdr:from>
    <xdr:to>
      <xdr:col>8</xdr:col>
      <xdr:colOff>206887</xdr:colOff>
      <xdr:row>25</xdr:row>
      <xdr:rowOff>132325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6D500-AF98-0DD6-5B14-9A1526F41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15</xdr:row>
      <xdr:rowOff>19050</xdr:rowOff>
    </xdr:from>
    <xdr:to>
      <xdr:col>8</xdr:col>
      <xdr:colOff>95250</xdr:colOff>
      <xdr:row>25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2575E-1120-C8C6-9D5F-31632222C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zoomScale="93" zoomScaleNormal="93" workbookViewId="0">
      <selection activeCell="P6" sqref="P6"/>
    </sheetView>
  </sheetViews>
  <sheetFormatPr defaultRowHeight="15" x14ac:dyDescent="0.25"/>
  <cols>
    <col min="1" max="1" width="9.85546875" customWidth="1"/>
  </cols>
  <sheetData>
    <row r="1" spans="1:13" ht="21.75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0" customHeight="1" x14ac:dyDescent="0.25">
      <c r="A3" s="16" t="s">
        <v>2</v>
      </c>
      <c r="B3" s="9" t="s">
        <v>5</v>
      </c>
      <c r="C3" s="14" t="s">
        <v>4</v>
      </c>
      <c r="D3" s="15"/>
      <c r="E3" s="14" t="s">
        <v>6</v>
      </c>
      <c r="F3" s="15"/>
      <c r="G3" s="14" t="s">
        <v>8</v>
      </c>
      <c r="H3" s="15"/>
      <c r="I3" s="16" t="s">
        <v>9</v>
      </c>
      <c r="J3" s="16" t="s">
        <v>10</v>
      </c>
      <c r="K3" s="9" t="s">
        <v>11</v>
      </c>
      <c r="L3" s="16" t="s">
        <v>12</v>
      </c>
      <c r="M3" s="9" t="s">
        <v>13</v>
      </c>
    </row>
    <row r="4" spans="1:13" ht="30" x14ac:dyDescent="0.25">
      <c r="A4" s="17"/>
      <c r="B4" s="17"/>
      <c r="C4" s="5" t="s">
        <v>7</v>
      </c>
      <c r="D4" s="6" t="s">
        <v>3</v>
      </c>
      <c r="E4" s="5" t="s">
        <v>7</v>
      </c>
      <c r="F4" s="6" t="s">
        <v>3</v>
      </c>
      <c r="G4" s="5" t="s">
        <v>7</v>
      </c>
      <c r="H4" s="6" t="s">
        <v>3</v>
      </c>
      <c r="I4" s="17"/>
      <c r="J4" s="17"/>
      <c r="K4" s="10"/>
      <c r="L4" s="17"/>
      <c r="M4" s="10"/>
    </row>
    <row r="5" spans="1:13" x14ac:dyDescent="0.25">
      <c r="A5" s="3"/>
      <c r="B5" s="4" t="s">
        <v>14</v>
      </c>
      <c r="C5" s="4">
        <v>75</v>
      </c>
      <c r="D5" s="7">
        <f>IF(C5="AB","AB",IF(C5&gt;=80,5,IF(C5&gt;=70,4,IF(C5&gt;=60,3,IF(C5&gt;=50,2,IF(C5&lt;50,0))))))</f>
        <v>4</v>
      </c>
      <c r="E5" s="4">
        <v>78</v>
      </c>
      <c r="F5" s="4">
        <f>IF(E5="AB","AB",IF(E5&gt;=80,5,IF(E5&gt;=70,4,IF(E5&gt;=60,3,IF(E5&gt;=50,2,IF(E5&lt;50,0))))))</f>
        <v>4</v>
      </c>
      <c r="G5" s="4">
        <v>43</v>
      </c>
      <c r="H5" s="4">
        <f>IF(G5="AB","AB",IF(G5&gt;=80,5,IF(G5&gt;=70,4,IF(G5&gt;=60,3,IF(G5&gt;=50,2,IF(G5&lt;50,0))))))</f>
        <v>0</v>
      </c>
      <c r="I5" s="4" t="str">
        <f>IF(OR(C5="AB",E5="AB",G5="AB"),"Absent",IF(OR(C5&lt;50,E5&lt;50,G5&lt;50),"0",SUM(C5+E5+G5)))</f>
        <v>0</v>
      </c>
      <c r="J5" s="4" t="str">
        <f>IF(OR(D5="AB",F5="AB",H5="AB"),"Absent",IF(OR(D5=0,F5=0,H5=0),"0",AVERAGE((D5,F5,H5))))</f>
        <v>0</v>
      </c>
      <c r="K5" s="4">
        <f>IF(J5="Absent","Absent",IF(J5="0",0,IF(J5&gt;=5,"A+",IF(J5&gt;=4,"A",IF(J5&gt;=3,"B",IF(J5&gt;=2,"C",IF(J5&lt;2,"F")))))))</f>
        <v>0</v>
      </c>
      <c r="L5" s="4" t="str">
        <f>IF(J5="Absent","-",IF(J5="0","--",RANK(J5,$J$5:$J$9)))</f>
        <v>--</v>
      </c>
      <c r="M5" s="4" t="str">
        <f>IF(K5=0,"Fail",IF(K5="Absent","Absent","Pass"))</f>
        <v>Fail</v>
      </c>
    </row>
    <row r="6" spans="1:13" x14ac:dyDescent="0.25">
      <c r="A6" s="3"/>
      <c r="B6" s="4" t="s">
        <v>15</v>
      </c>
      <c r="C6" s="4">
        <v>35</v>
      </c>
      <c r="D6" s="7">
        <f t="shared" ref="D6:D9" si="0">IF(C6="AB","AB",IF(C6&gt;=80,5,IF(C6&gt;=70,4,IF(C6&gt;=60,3,IF(C6&gt;=50,2,IF(C6&lt;50,0))))))</f>
        <v>0</v>
      </c>
      <c r="E6" s="4" t="s">
        <v>19</v>
      </c>
      <c r="F6" s="4" t="str">
        <f t="shared" ref="F6:F9" si="1">IF(E6="AB","AB",IF(E6&gt;=80,5,IF(E6&gt;=70,4,IF(E6&gt;=60,3,IF(E6&gt;=50,2,IF(E6&lt;50,0))))))</f>
        <v>AB</v>
      </c>
      <c r="G6" s="4">
        <v>81</v>
      </c>
      <c r="H6" s="4">
        <f t="shared" ref="H6:H9" si="2">IF(G6="AB","AB",IF(G6&gt;=80,5,IF(G6&gt;=70,4,IF(G6&gt;=60,3,IF(G6&gt;=50,2,IF(G6&lt;50,0))))))</f>
        <v>5</v>
      </c>
      <c r="I6" s="4" t="str">
        <f t="shared" ref="I6:I9" si="3">IF(OR(C6="AB",E6="AB",G6="AB"),"Absent",IF(OR(C6&lt;50,E6&lt;50,G6&lt;50),"0",SUM(C6+E6+G6)))</f>
        <v>Absent</v>
      </c>
      <c r="J6" s="4" t="str">
        <f>IF(OR(D6="AB",F6="AB",H6="AB"),"Absent",IF(OR(D6=0,F6=0,H6=0),"0",AVERAGE((D6,F6,H6))))</f>
        <v>Absent</v>
      </c>
      <c r="K6" s="4" t="str">
        <f>IF(J6="Absent","Absent",IF(J6="0",,IF(J6&gt;=5,"A+",IF(J6&gt;=4,"A",IF(J6&gt;=3,"B",IF(J6&gt;=2,"C",IF(J6&lt;2,"F")))))))</f>
        <v>Absent</v>
      </c>
      <c r="L6" s="4" t="str">
        <f t="shared" ref="L6:L9" si="4">IF(J6="Absent","-",IF(J6="0","--",RANK(J6,$J$5:$J$9)))</f>
        <v>-</v>
      </c>
      <c r="M6" s="4" t="str">
        <f>IF(K6=0,"Fail",IF(K6="Absent","Absent","Pass"))</f>
        <v>Absent</v>
      </c>
    </row>
    <row r="7" spans="1:13" x14ac:dyDescent="0.25">
      <c r="A7" s="3"/>
      <c r="B7" s="4" t="s">
        <v>16</v>
      </c>
      <c r="C7" s="4">
        <v>16</v>
      </c>
      <c r="D7" s="7">
        <f t="shared" si="0"/>
        <v>0</v>
      </c>
      <c r="E7" s="4">
        <v>60</v>
      </c>
      <c r="F7" s="4">
        <f t="shared" si="1"/>
        <v>3</v>
      </c>
      <c r="G7" s="4">
        <v>60</v>
      </c>
      <c r="H7" s="4">
        <f t="shared" si="2"/>
        <v>3</v>
      </c>
      <c r="I7" s="4" t="str">
        <f t="shared" si="3"/>
        <v>0</v>
      </c>
      <c r="J7" s="4" t="str">
        <f>IF(OR(D7="AB",F7="AB",H7="AB"),"Absent",IF(OR(D7=0,F7=0,H7=0),"0",AVERAGE((D7,F7,H7))))</f>
        <v>0</v>
      </c>
      <c r="K7" s="4">
        <f t="shared" ref="K7:K9" si="5">IF(J7="Absent","Absent",IF(J7="0",0,IF(J7&gt;=5,"A+",IF(J7&gt;=4,"A",IF(J7&gt;=3,"B",IF(J7&gt;=2,"C",IF(J7&lt;2,"F")))))))</f>
        <v>0</v>
      </c>
      <c r="L7" s="4" t="str">
        <f t="shared" si="4"/>
        <v>--</v>
      </c>
      <c r="M7" s="4" t="str">
        <f t="shared" ref="M7:M9" si="6">IF(K7=0,"Fail",IF(K7="Absent","Absent","Pass"))</f>
        <v>Fail</v>
      </c>
    </row>
    <row r="8" spans="1:13" x14ac:dyDescent="0.25">
      <c r="A8" s="3"/>
      <c r="B8" s="4" t="s">
        <v>17</v>
      </c>
      <c r="C8" s="4">
        <v>55</v>
      </c>
      <c r="D8" s="7">
        <f t="shared" si="0"/>
        <v>2</v>
      </c>
      <c r="E8" s="4">
        <v>63</v>
      </c>
      <c r="F8" s="4">
        <f t="shared" si="1"/>
        <v>3</v>
      </c>
      <c r="G8" s="4">
        <v>73</v>
      </c>
      <c r="H8" s="4">
        <f t="shared" si="2"/>
        <v>4</v>
      </c>
      <c r="I8" s="4">
        <f t="shared" si="3"/>
        <v>191</v>
      </c>
      <c r="J8" s="4">
        <f>IF(OR(D8="AB",F8="AB",H8="AB"),"Absent",IF(OR(D8=0,F8=0,H8=0),"0",AVERAGE((D8,F8,H8))))</f>
        <v>3</v>
      </c>
      <c r="K8" s="4" t="str">
        <f t="shared" si="5"/>
        <v>B</v>
      </c>
      <c r="L8" s="4">
        <f t="shared" si="4"/>
        <v>2</v>
      </c>
      <c r="M8" s="4" t="str">
        <f t="shared" si="6"/>
        <v>Pass</v>
      </c>
    </row>
    <row r="9" spans="1:13" x14ac:dyDescent="0.25">
      <c r="A9" s="3"/>
      <c r="B9" s="4" t="s">
        <v>18</v>
      </c>
      <c r="C9" s="4">
        <v>99</v>
      </c>
      <c r="D9" s="7">
        <f t="shared" si="0"/>
        <v>5</v>
      </c>
      <c r="E9" s="4">
        <v>75</v>
      </c>
      <c r="F9" s="4">
        <f t="shared" si="1"/>
        <v>4</v>
      </c>
      <c r="G9" s="4">
        <v>54</v>
      </c>
      <c r="H9" s="4">
        <f t="shared" si="2"/>
        <v>2</v>
      </c>
      <c r="I9" s="4">
        <f t="shared" si="3"/>
        <v>228</v>
      </c>
      <c r="J9" s="4">
        <f>IF(OR(D9="AB",F9="AB",H9="AB"),"Absent",IF(OR(D9=0,F9=0,H9=0),"0",AVERAGE((D9,F9,H9))))</f>
        <v>3.6666666666666665</v>
      </c>
      <c r="K9" s="4" t="str">
        <f t="shared" si="5"/>
        <v>B</v>
      </c>
      <c r="L9" s="4">
        <f t="shared" si="4"/>
        <v>1</v>
      </c>
      <c r="M9" s="4" t="str">
        <f t="shared" si="6"/>
        <v>Pass</v>
      </c>
    </row>
    <row r="12" spans="1:13" x14ac:dyDescent="0.25">
      <c r="C12" s="11" t="s">
        <v>20</v>
      </c>
      <c r="D12" s="11"/>
      <c r="J12" s="12" t="s">
        <v>21</v>
      </c>
      <c r="K12" s="12"/>
    </row>
    <row r="13" spans="1:13" x14ac:dyDescent="0.25">
      <c r="C13" s="1" t="s">
        <v>16</v>
      </c>
      <c r="D13" s="1" t="str">
        <f>VLOOKUP(C13,B3:M9,12,0)</f>
        <v>Fail</v>
      </c>
      <c r="J13" s="4" t="s">
        <v>14</v>
      </c>
      <c r="K13" s="8" t="str">
        <f>IF(OR(D5="AB",F5="AB",H5="AB"),"Absent",IF(OR(D5=0,F5=0,H5=0),"0",AVERAGE((D5,F5,H5))))</f>
        <v>0</v>
      </c>
    </row>
    <row r="14" spans="1:13" x14ac:dyDescent="0.25">
      <c r="J14" s="4" t="s">
        <v>15</v>
      </c>
      <c r="K14" s="8" t="str">
        <f>IF(OR(D6="AB",F6="AB",H6="AB"),"Absent",IF(OR(D6=0,F6=0,H6=0),"0",AVERAGE((D6,F6,H6))))</f>
        <v>Absent</v>
      </c>
    </row>
    <row r="15" spans="1:13" x14ac:dyDescent="0.25">
      <c r="J15" s="4" t="s">
        <v>16</v>
      </c>
      <c r="K15" s="8" t="str">
        <f>IF(OR(D7="AB",F7="AB",H7="AB"),"Absent",IF(OR(D7=0,F7=0,H7=0),"0",AVERAGE((D7,F7,H7))))</f>
        <v>0</v>
      </c>
    </row>
    <row r="16" spans="1:13" x14ac:dyDescent="0.25">
      <c r="J16" s="4" t="s">
        <v>17</v>
      </c>
      <c r="K16" s="8">
        <f>IF(OR(D8="AB",F8="AB",H8="AB"),"Absent",IF(OR(D8=0,F8=0,H8=0),"0",AVERAGE((D8,F8,H8))))</f>
        <v>3</v>
      </c>
    </row>
    <row r="17" spans="10:11" x14ac:dyDescent="0.25">
      <c r="J17" s="4" t="s">
        <v>18</v>
      </c>
      <c r="K17" s="8">
        <f>IF(OR(D9="AB",F9="AB",H9="AB"),"Absent",IF(OR(D9=0,F9=0,H9=0),"0",AVERAGE((D9,F9,H9))))</f>
        <v>3.6666666666666665</v>
      </c>
    </row>
  </sheetData>
  <mergeCells count="13">
    <mergeCell ref="M3:M4"/>
    <mergeCell ref="C12:D12"/>
    <mergeCell ref="J12:K12"/>
    <mergeCell ref="A1:M1"/>
    <mergeCell ref="C3:D3"/>
    <mergeCell ref="A3:A4"/>
    <mergeCell ref="B3:B4"/>
    <mergeCell ref="E3:F3"/>
    <mergeCell ref="G3:H3"/>
    <mergeCell ref="I3:I4"/>
    <mergeCell ref="J3:J4"/>
    <mergeCell ref="K3:K4"/>
    <mergeCell ref="L3:L4"/>
  </mergeCells>
  <phoneticPr fontId="3" type="noConversion"/>
  <conditionalFormatting sqref="M5:M9">
    <cfRule type="containsText" dxfId="10" priority="1" operator="containsText" text="Absent">
      <formula>NOT(ISERROR(SEARCH("Absent",M5)))</formula>
    </cfRule>
    <cfRule type="containsText" dxfId="9" priority="2" operator="containsText" text="fail">
      <formula>NOT(ISERROR(SEARCH("fail",M5)))</formula>
    </cfRule>
    <cfRule type="containsText" dxfId="8" priority="3" operator="containsText" text="pass">
      <formula>NOT(ISERROR(SEARCH("pass",M5)))</formula>
    </cfRule>
  </conditionalFormatting>
  <dataValidations count="1">
    <dataValidation type="list" allowBlank="1" showInputMessage="1" showErrorMessage="1" sqref="C13" xr:uid="{C49B91D6-608A-4667-9C53-6E895F5E72DB}">
      <formula1>$B$5:$B$9</formula1>
    </dataValidation>
  </dataValidation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BEC5-9B92-4338-BD13-E221F902E0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F8F0-98AB-4DB7-B73A-91BA036D5E77}">
  <dimension ref="A1:M17"/>
  <sheetViews>
    <sheetView zoomScaleNormal="100" workbookViewId="0">
      <selection activeCell="A3" sqref="A3:M9"/>
    </sheetView>
  </sheetViews>
  <sheetFormatPr defaultRowHeight="15" x14ac:dyDescent="0.25"/>
  <cols>
    <col min="1" max="1" width="9.85546875" customWidth="1"/>
    <col min="12" max="12" width="10.140625" bestFit="1" customWidth="1"/>
  </cols>
  <sheetData>
    <row r="1" spans="1:13" ht="21.75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0" customHeight="1" x14ac:dyDescent="0.25">
      <c r="A3" s="16" t="s">
        <v>2</v>
      </c>
      <c r="B3" s="9" t="s">
        <v>5</v>
      </c>
      <c r="C3" s="14" t="s">
        <v>4</v>
      </c>
      <c r="D3" s="15"/>
      <c r="E3" s="14" t="s">
        <v>6</v>
      </c>
      <c r="F3" s="15"/>
      <c r="G3" s="14" t="s">
        <v>8</v>
      </c>
      <c r="H3" s="15"/>
      <c r="I3" s="16" t="s">
        <v>9</v>
      </c>
      <c r="J3" s="16" t="s">
        <v>10</v>
      </c>
      <c r="K3" s="9" t="s">
        <v>11</v>
      </c>
      <c r="L3" s="16" t="s">
        <v>12</v>
      </c>
      <c r="M3" s="9" t="s">
        <v>13</v>
      </c>
    </row>
    <row r="4" spans="1:13" ht="30" x14ac:dyDescent="0.25">
      <c r="A4" s="17"/>
      <c r="B4" s="17"/>
      <c r="C4" s="5" t="s">
        <v>7</v>
      </c>
      <c r="D4" s="6" t="s">
        <v>3</v>
      </c>
      <c r="E4" s="5" t="s">
        <v>7</v>
      </c>
      <c r="F4" s="6" t="s">
        <v>3</v>
      </c>
      <c r="G4" s="5" t="s">
        <v>7</v>
      </c>
      <c r="H4" s="6" t="s">
        <v>3</v>
      </c>
      <c r="I4" s="17"/>
      <c r="J4" s="17"/>
      <c r="K4" s="10"/>
      <c r="L4" s="17"/>
      <c r="M4" s="10"/>
    </row>
    <row r="5" spans="1:13" x14ac:dyDescent="0.25">
      <c r="A5" s="3" t="s">
        <v>22</v>
      </c>
      <c r="B5" s="4" t="s">
        <v>14</v>
      </c>
      <c r="C5" s="4">
        <v>75</v>
      </c>
      <c r="D5" s="7">
        <f t="shared" ref="D5:H9" si="0">IF(C5="Ab","Absent",IF(C5&gt;=80,5,IF(C5&gt;=70,4,IF(C5&gt;=60,3,IF(C5&gt;=50,2,IF(C5&lt;50,0))))))</f>
        <v>4</v>
      </c>
      <c r="E5" s="4">
        <v>78</v>
      </c>
      <c r="F5" s="7">
        <f t="shared" si="0"/>
        <v>4</v>
      </c>
      <c r="G5" s="4">
        <v>43</v>
      </c>
      <c r="H5" s="7">
        <f t="shared" si="0"/>
        <v>0</v>
      </c>
      <c r="I5" s="4">
        <f>IF(OR(C5="Ab",E5="Ab",G5="Ab"),"Absent",SUM(C5+E5+G5))</f>
        <v>196</v>
      </c>
      <c r="J5" s="7" t="str">
        <f>IF(OR(D5="Absent",F5="Absent",H5="Absent"),"Absent",IF(OR(D5=0,F5=0,H5=0),"0",AVERAGE(D5,F5,H5)))</f>
        <v>0</v>
      </c>
      <c r="K5" s="7" t="str">
        <f>IF(J5="Absent","Absent",IF(J5="0","0",IF(J5&gt;=5,"A+",IF(J5&gt;=4,"A",IF(J5&gt;=3,"B",IF(J5&gt;=2,"C",IF(J5&lt;2,"F")))))))</f>
        <v>0</v>
      </c>
      <c r="L5" s="4" t="str">
        <f>IF(J5="Absent","Absent",IF(J5="0","0",RANK(J5,$J$5:$J$9)))</f>
        <v>0</v>
      </c>
      <c r="M5" s="4" t="str">
        <f>IF(J5="0","Fail",IF(J5="Absent","Absent","pass"))</f>
        <v>Fail</v>
      </c>
    </row>
    <row r="6" spans="1:13" x14ac:dyDescent="0.25">
      <c r="A6" s="3" t="s">
        <v>23</v>
      </c>
      <c r="B6" s="4" t="s">
        <v>15</v>
      </c>
      <c r="C6" s="4">
        <v>35</v>
      </c>
      <c r="D6" s="7">
        <f t="shared" si="0"/>
        <v>0</v>
      </c>
      <c r="E6" s="4" t="s">
        <v>19</v>
      </c>
      <c r="F6" s="7" t="str">
        <f t="shared" ref="F6" si="1">IF(E6="Ab","Absent",IF(E6&gt;=80,5,IF(E6&gt;=70,4,IF(E6&gt;=60,3,IF(E6&gt;=50,2,IF(E6&lt;50,0))))))</f>
        <v>Absent</v>
      </c>
      <c r="G6" s="4">
        <v>81</v>
      </c>
      <c r="H6" s="7">
        <f t="shared" ref="H6" si="2">IF(G6="Ab","Absent",IF(G6&gt;=80,5,IF(G6&gt;=70,4,IF(G6&gt;=60,3,IF(G6&gt;=50,2,IF(G6&lt;50,0))))))</f>
        <v>5</v>
      </c>
      <c r="I6" s="4" t="str">
        <f t="shared" ref="I6:I9" si="3">IF(OR(C6="Ab",E6="Ab",G6="Ab"),"Absent",SUM(C6+E6+G6))</f>
        <v>Absent</v>
      </c>
      <c r="J6" s="7" t="str">
        <f t="shared" ref="J6:J9" si="4">IF(OR(D6="Absent",F6="Absent",H6="Absent"),"Absent",IF(OR(D6=0,F6=0,H6=0),"0",AVERAGE(D6,F6,H6)))</f>
        <v>Absent</v>
      </c>
      <c r="K6" s="7" t="str">
        <f t="shared" ref="K6:K9" si="5">IF(J6="Absent","Absent",IF(J6="0","0",IF(J6&gt;=5,"A+",IF(J6&gt;=4,"A",IF(J6&gt;=3,"B",IF(J6&gt;=2,"C",IF(J6&lt;2,"F")))))))</f>
        <v>Absent</v>
      </c>
      <c r="L6" s="4" t="str">
        <f t="shared" ref="L6:L9" si="6">IF(J6="Absent","Absent",IF(J6="0","0",RANK(J6,$J$5:$J$9)))</f>
        <v>Absent</v>
      </c>
      <c r="M6" s="4" t="str">
        <f t="shared" ref="M6:M9" si="7">IF(J6="0","Fail",IF(J6="Absent","Absent","pass"))</f>
        <v>Absent</v>
      </c>
    </row>
    <row r="7" spans="1:13" x14ac:dyDescent="0.25">
      <c r="A7" s="3" t="s">
        <v>24</v>
      </c>
      <c r="B7" s="4" t="s">
        <v>16</v>
      </c>
      <c r="C7" s="4">
        <v>16</v>
      </c>
      <c r="D7" s="7">
        <f t="shared" si="0"/>
        <v>0</v>
      </c>
      <c r="E7" s="4">
        <v>60</v>
      </c>
      <c r="F7" s="7">
        <f t="shared" ref="F7" si="8">IF(E7="Ab","Absent",IF(E7&gt;=80,5,IF(E7&gt;=70,4,IF(E7&gt;=60,3,IF(E7&gt;=50,2,IF(E7&lt;50,0))))))</f>
        <v>3</v>
      </c>
      <c r="G7" s="4">
        <v>60</v>
      </c>
      <c r="H7" s="7">
        <f t="shared" ref="H7" si="9">IF(G7="Ab","Absent",IF(G7&gt;=80,5,IF(G7&gt;=70,4,IF(G7&gt;=60,3,IF(G7&gt;=50,2,IF(G7&lt;50,0))))))</f>
        <v>3</v>
      </c>
      <c r="I7" s="4">
        <f t="shared" si="3"/>
        <v>136</v>
      </c>
      <c r="J7" s="7" t="str">
        <f t="shared" si="4"/>
        <v>0</v>
      </c>
      <c r="K7" s="7" t="str">
        <f t="shared" si="5"/>
        <v>0</v>
      </c>
      <c r="L7" s="4" t="str">
        <f t="shared" si="6"/>
        <v>0</v>
      </c>
      <c r="M7" s="4" t="str">
        <f t="shared" si="7"/>
        <v>Fail</v>
      </c>
    </row>
    <row r="8" spans="1:13" x14ac:dyDescent="0.25">
      <c r="A8" s="3" t="s">
        <v>25</v>
      </c>
      <c r="B8" s="4" t="s">
        <v>17</v>
      </c>
      <c r="C8" s="4">
        <v>55</v>
      </c>
      <c r="D8" s="7">
        <f t="shared" si="0"/>
        <v>2</v>
      </c>
      <c r="E8" s="4">
        <v>63</v>
      </c>
      <c r="F8" s="7">
        <f t="shared" ref="F8" si="10">IF(E8="Ab","Absent",IF(E8&gt;=80,5,IF(E8&gt;=70,4,IF(E8&gt;=60,3,IF(E8&gt;=50,2,IF(E8&lt;50,0))))))</f>
        <v>3</v>
      </c>
      <c r="G8" s="4">
        <v>73</v>
      </c>
      <c r="H8" s="7">
        <f t="shared" ref="H8" si="11">IF(G8="Ab","Absent",IF(G8&gt;=80,5,IF(G8&gt;=70,4,IF(G8&gt;=60,3,IF(G8&gt;=50,2,IF(G8&lt;50,0))))))</f>
        <v>4</v>
      </c>
      <c r="I8" s="4">
        <f t="shared" si="3"/>
        <v>191</v>
      </c>
      <c r="J8" s="7">
        <f t="shared" si="4"/>
        <v>3</v>
      </c>
      <c r="K8" s="7" t="str">
        <f t="shared" si="5"/>
        <v>B</v>
      </c>
      <c r="L8" s="4">
        <f t="shared" si="6"/>
        <v>2</v>
      </c>
      <c r="M8" s="4" t="str">
        <f t="shared" si="7"/>
        <v>pass</v>
      </c>
    </row>
    <row r="9" spans="1:13" x14ac:dyDescent="0.25">
      <c r="A9" s="3" t="s">
        <v>26</v>
      </c>
      <c r="B9" s="4" t="s">
        <v>18</v>
      </c>
      <c r="C9" s="4">
        <v>99</v>
      </c>
      <c r="D9" s="7">
        <f t="shared" si="0"/>
        <v>5</v>
      </c>
      <c r="E9" s="4">
        <v>75</v>
      </c>
      <c r="F9" s="7">
        <f t="shared" ref="F9" si="12">IF(E9="Ab","Absent",IF(E9&gt;=80,5,IF(E9&gt;=70,4,IF(E9&gt;=60,3,IF(E9&gt;=50,2,IF(E9&lt;50,0))))))</f>
        <v>4</v>
      </c>
      <c r="G9" s="4">
        <v>54</v>
      </c>
      <c r="H9" s="7">
        <f t="shared" ref="H9" si="13">IF(G9="Ab","Absent",IF(G9&gt;=80,5,IF(G9&gt;=70,4,IF(G9&gt;=60,3,IF(G9&gt;=50,2,IF(G9&lt;50,0))))))</f>
        <v>2</v>
      </c>
      <c r="I9" s="4">
        <f t="shared" si="3"/>
        <v>228</v>
      </c>
      <c r="J9" s="7">
        <f t="shared" si="4"/>
        <v>3.6666666666666665</v>
      </c>
      <c r="K9" s="7" t="str">
        <f t="shared" si="5"/>
        <v>B</v>
      </c>
      <c r="L9" s="4">
        <f t="shared" si="6"/>
        <v>1</v>
      </c>
      <c r="M9" s="4" t="str">
        <f t="shared" si="7"/>
        <v>pass</v>
      </c>
    </row>
    <row r="12" spans="1:13" x14ac:dyDescent="0.25">
      <c r="C12" s="11" t="s">
        <v>20</v>
      </c>
      <c r="D12" s="11"/>
      <c r="J12" s="12"/>
      <c r="K12" s="12"/>
    </row>
    <row r="13" spans="1:13" x14ac:dyDescent="0.25">
      <c r="C13" s="1" t="s">
        <v>16</v>
      </c>
      <c r="D13" s="1" t="str">
        <f>VLOOKUP(C13,B3:M9,12,0)</f>
        <v>Fail</v>
      </c>
      <c r="J13" s="4"/>
      <c r="K13" s="8"/>
    </row>
    <row r="14" spans="1:13" x14ac:dyDescent="0.25">
      <c r="C14" t="s">
        <v>14</v>
      </c>
      <c r="D14">
        <f>VLOOKUP(C14,B3:M9,8,0)</f>
        <v>196</v>
      </c>
      <c r="J14" s="4"/>
      <c r="K14" s="8"/>
    </row>
    <row r="15" spans="1:13" x14ac:dyDescent="0.25">
      <c r="J15" s="4"/>
      <c r="K15" s="8"/>
    </row>
    <row r="16" spans="1:13" x14ac:dyDescent="0.25">
      <c r="J16" s="4"/>
      <c r="K16" s="8"/>
    </row>
    <row r="17" spans="10:11" x14ac:dyDescent="0.25">
      <c r="J17" s="4"/>
      <c r="K17" s="8"/>
    </row>
  </sheetData>
  <mergeCells count="13">
    <mergeCell ref="M3:M4"/>
    <mergeCell ref="C12:D12"/>
    <mergeCell ref="J12:K12"/>
    <mergeCell ref="A1:M1"/>
    <mergeCell ref="A3:A4"/>
    <mergeCell ref="B3:B4"/>
    <mergeCell ref="C3:D3"/>
    <mergeCell ref="E3:F3"/>
    <mergeCell ref="G3:H3"/>
    <mergeCell ref="I3:I4"/>
    <mergeCell ref="J3:J4"/>
    <mergeCell ref="K3:K4"/>
    <mergeCell ref="L3:L4"/>
  </mergeCells>
  <phoneticPr fontId="3" type="noConversion"/>
  <conditionalFormatting sqref="M5:M9">
    <cfRule type="containsText" dxfId="7" priority="1" operator="containsText" text="pass">
      <formula>NOT(ISERROR(SEARCH("pass",M5)))</formula>
    </cfRule>
    <cfRule type="containsText" dxfId="6" priority="2" operator="containsText" text="Absent">
      <formula>NOT(ISERROR(SEARCH("Absent",M5)))</formula>
    </cfRule>
    <cfRule type="containsText" dxfId="5" priority="3" operator="containsText" text="fail">
      <formula>NOT(ISERROR(SEARCH("fail",M5)))</formula>
    </cfRule>
    <cfRule type="containsText" dxfId="4" priority="4" operator="containsText" text="fail">
      <formula>NOT(ISERROR(SEARCH("fail",M5)))</formula>
    </cfRule>
  </conditionalFormatting>
  <dataValidations count="1">
    <dataValidation type="list" allowBlank="1" showInputMessage="1" showErrorMessage="1" sqref="C13 C14" xr:uid="{82754889-CA42-4647-B904-B5FD679D3B88}">
      <formula1>$B$5:$B$9</formula1>
    </dataValidation>
  </dataValidation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8C5F-CAD1-46D4-AF42-98A6B4CC1B00}">
  <dimension ref="A2:M14"/>
  <sheetViews>
    <sheetView tabSelected="1" zoomScaleNormal="100" workbookViewId="0">
      <selection activeCell="L4" sqref="L4"/>
    </sheetView>
  </sheetViews>
  <sheetFormatPr defaultRowHeight="15" x14ac:dyDescent="0.25"/>
  <sheetData>
    <row r="2" spans="1:13" x14ac:dyDescent="0.25">
      <c r="A2" s="16" t="s">
        <v>2</v>
      </c>
      <c r="B2" s="9" t="s">
        <v>5</v>
      </c>
      <c r="C2" s="14" t="s">
        <v>4</v>
      </c>
      <c r="D2" s="15"/>
      <c r="E2" s="14" t="s">
        <v>6</v>
      </c>
      <c r="F2" s="15"/>
      <c r="G2" s="14" t="s">
        <v>8</v>
      </c>
      <c r="H2" s="15"/>
      <c r="I2" s="16" t="s">
        <v>9</v>
      </c>
      <c r="J2" s="16" t="s">
        <v>10</v>
      </c>
      <c r="K2" s="9" t="s">
        <v>11</v>
      </c>
      <c r="L2" s="16" t="s">
        <v>12</v>
      </c>
      <c r="M2" s="9" t="s">
        <v>13</v>
      </c>
    </row>
    <row r="3" spans="1:13" ht="30" x14ac:dyDescent="0.25">
      <c r="A3" s="17"/>
      <c r="B3" s="17"/>
      <c r="C3" s="5" t="s">
        <v>7</v>
      </c>
      <c r="D3" s="6" t="s">
        <v>3</v>
      </c>
      <c r="E3" s="5" t="s">
        <v>7</v>
      </c>
      <c r="F3" s="6" t="s">
        <v>3</v>
      </c>
      <c r="G3" s="5" t="s">
        <v>7</v>
      </c>
      <c r="H3" s="6" t="s">
        <v>3</v>
      </c>
      <c r="I3" s="17"/>
      <c r="J3" s="17"/>
      <c r="K3" s="10"/>
      <c r="L3" s="17"/>
      <c r="M3" s="10"/>
    </row>
    <row r="4" spans="1:13" x14ac:dyDescent="0.25">
      <c r="A4" s="3" t="s">
        <v>27</v>
      </c>
      <c r="B4" s="4" t="s">
        <v>14</v>
      </c>
      <c r="C4" s="4">
        <v>75</v>
      </c>
      <c r="D4" s="7">
        <f t="shared" ref="D4:H8" si="0">IF(C4="Ab","Absent",IF(C4&gt;=80,5,IF(C4&gt;=70,4,IF(C4&gt;=60,3,IF(C4&gt;=50,2,IF(C4&lt;50,0))))))</f>
        <v>4</v>
      </c>
      <c r="E4" s="4">
        <v>78</v>
      </c>
      <c r="F4" s="7">
        <f t="shared" si="0"/>
        <v>4</v>
      </c>
      <c r="G4" s="4">
        <v>43</v>
      </c>
      <c r="H4" s="7">
        <f t="shared" si="0"/>
        <v>0</v>
      </c>
      <c r="I4" s="4">
        <f>IF(OR(C4="Ab",E4="Ab",G4="Ab"),"Absent",SUM(C4+E4+G4))</f>
        <v>196</v>
      </c>
      <c r="J4" s="7" t="str">
        <f>IF(OR(D4="Absent",F4="Absent",H4="Absent"),"Absent",IF(OR(D4=0,F4=0,H4=0),"0",AVERAGE(D4,F4,H4)))</f>
        <v>0</v>
      </c>
      <c r="K4" s="7" t="str">
        <f>IF(J4="Absent","Absent",IF(J4="0","0",IF(J4&gt;=5,"A+",IF(J4&gt;=4,"A",IF(J4&gt;=3,"B",IF(J4&gt;=2,"C",IF(J4&lt;2,"F")))))))</f>
        <v>0</v>
      </c>
      <c r="L4" s="4" t="str">
        <f>IF(J4="Absent","Absent",IF(J4="0","0",RANK(J4,$J$5:$J$9)))</f>
        <v>0</v>
      </c>
      <c r="M4" s="4" t="str">
        <f>IF(J4="0","Fail",IF(J4="Absent","Absent","pass"))</f>
        <v>Fail</v>
      </c>
    </row>
    <row r="5" spans="1:13" x14ac:dyDescent="0.25">
      <c r="A5" s="3" t="s">
        <v>28</v>
      </c>
      <c r="B5" s="4" t="s">
        <v>15</v>
      </c>
      <c r="C5" s="4">
        <v>35</v>
      </c>
      <c r="D5" s="7">
        <f t="shared" si="0"/>
        <v>0</v>
      </c>
      <c r="E5" s="4" t="s">
        <v>19</v>
      </c>
      <c r="F5" s="7" t="str">
        <f t="shared" si="0"/>
        <v>Absent</v>
      </c>
      <c r="G5" s="4">
        <v>81</v>
      </c>
      <c r="H5" s="7">
        <f t="shared" si="0"/>
        <v>5</v>
      </c>
      <c r="I5" s="4" t="str">
        <f t="shared" ref="I5:I8" si="1">IF(OR(C5="Ab",E5="Ab",G5="Ab"),"Absent",SUM(C5+E5+G5))</f>
        <v>Absent</v>
      </c>
      <c r="J5" s="7" t="str">
        <f t="shared" ref="J5:J8" si="2">IF(OR(D5="Absent",F5="Absent",H5="Absent"),"Absent",IF(OR(D5=0,F5=0,H5=0),"0",AVERAGE(D5,F5,H5)))</f>
        <v>Absent</v>
      </c>
      <c r="K5" s="7" t="str">
        <f t="shared" ref="K5:K8" si="3">IF(J5="Absent","Absent",IF(J5="0","0",IF(J5&gt;=5,"A+",IF(J5&gt;=4,"A",IF(J5&gt;=3,"B",IF(J5&gt;=2,"C",IF(J5&lt;2,"F")))))))</f>
        <v>Absent</v>
      </c>
      <c r="L5" s="4" t="str">
        <f t="shared" ref="L5:L8" si="4">IF(J5="Absent","Absent",IF(J5="0","0",RANK(J5,$J$5:$J$9)))</f>
        <v>Absent</v>
      </c>
      <c r="M5" s="4" t="str">
        <f t="shared" ref="M5:M8" si="5">IF(J5="0","Fail",IF(J5="Absent","Absent","pass"))</f>
        <v>Absent</v>
      </c>
    </row>
    <row r="6" spans="1:13" x14ac:dyDescent="0.25">
      <c r="A6" s="3" t="s">
        <v>29</v>
      </c>
      <c r="B6" s="4" t="s">
        <v>16</v>
      </c>
      <c r="C6" s="4">
        <v>16</v>
      </c>
      <c r="D6" s="7">
        <f t="shared" si="0"/>
        <v>0</v>
      </c>
      <c r="E6" s="4">
        <v>60</v>
      </c>
      <c r="F6" s="7">
        <f t="shared" si="0"/>
        <v>3</v>
      </c>
      <c r="G6" s="4">
        <v>60</v>
      </c>
      <c r="H6" s="7">
        <f t="shared" si="0"/>
        <v>3</v>
      </c>
      <c r="I6" s="4">
        <f t="shared" si="1"/>
        <v>136</v>
      </c>
      <c r="J6" s="7" t="str">
        <f t="shared" si="2"/>
        <v>0</v>
      </c>
      <c r="K6" s="7" t="str">
        <f t="shared" si="3"/>
        <v>0</v>
      </c>
      <c r="L6" s="4" t="str">
        <f t="shared" si="4"/>
        <v>0</v>
      </c>
      <c r="M6" s="4" t="str">
        <f t="shared" si="5"/>
        <v>Fail</v>
      </c>
    </row>
    <row r="7" spans="1:13" x14ac:dyDescent="0.25">
      <c r="A7" s="3" t="s">
        <v>30</v>
      </c>
      <c r="B7" s="4" t="s">
        <v>17</v>
      </c>
      <c r="C7" s="4">
        <v>55</v>
      </c>
      <c r="D7" s="7">
        <f t="shared" si="0"/>
        <v>2</v>
      </c>
      <c r="E7" s="4">
        <v>63</v>
      </c>
      <c r="F7" s="7">
        <f t="shared" si="0"/>
        <v>3</v>
      </c>
      <c r="G7" s="4">
        <v>73</v>
      </c>
      <c r="H7" s="7">
        <f t="shared" si="0"/>
        <v>4</v>
      </c>
      <c r="I7" s="4">
        <f t="shared" si="1"/>
        <v>191</v>
      </c>
      <c r="J7" s="7">
        <f t="shared" si="2"/>
        <v>3</v>
      </c>
      <c r="K7" s="7" t="str">
        <f t="shared" si="3"/>
        <v>B</v>
      </c>
      <c r="L7" s="4">
        <f t="shared" si="4"/>
        <v>2</v>
      </c>
      <c r="M7" s="4" t="str">
        <f t="shared" si="5"/>
        <v>pass</v>
      </c>
    </row>
    <row r="8" spans="1:13" x14ac:dyDescent="0.25">
      <c r="A8" s="3" t="s">
        <v>31</v>
      </c>
      <c r="B8" s="4" t="s">
        <v>18</v>
      </c>
      <c r="C8" s="4">
        <v>99</v>
      </c>
      <c r="D8" s="7">
        <f t="shared" si="0"/>
        <v>5</v>
      </c>
      <c r="E8" s="4">
        <v>75</v>
      </c>
      <c r="F8" s="7">
        <f t="shared" si="0"/>
        <v>4</v>
      </c>
      <c r="G8" s="4">
        <v>54</v>
      </c>
      <c r="H8" s="7">
        <f t="shared" si="0"/>
        <v>2</v>
      </c>
      <c r="I8" s="4">
        <f t="shared" si="1"/>
        <v>228</v>
      </c>
      <c r="J8" s="7">
        <f t="shared" si="2"/>
        <v>3.6666666666666665</v>
      </c>
      <c r="K8" s="7" t="str">
        <f t="shared" si="3"/>
        <v>B</v>
      </c>
      <c r="L8" s="4">
        <f t="shared" si="4"/>
        <v>1</v>
      </c>
      <c r="M8" s="4" t="str">
        <f t="shared" si="5"/>
        <v>pass</v>
      </c>
    </row>
    <row r="10" spans="1:13" x14ac:dyDescent="0.25">
      <c r="C10" t="b">
        <f>LEFT(A4,2)="EN"</f>
        <v>1</v>
      </c>
    </row>
    <row r="11" spans="1:13" x14ac:dyDescent="0.25">
      <c r="C11" t="b">
        <f>LEN(A4)=7</f>
        <v>1</v>
      </c>
    </row>
    <row r="12" spans="1:13" x14ac:dyDescent="0.25">
      <c r="C12" t="b">
        <f>COUNTIF($A$4:$A$8,A4)=1</f>
        <v>1</v>
      </c>
    </row>
    <row r="13" spans="1:13" x14ac:dyDescent="0.25">
      <c r="C13" t="b">
        <f>ISNUMBER((VALUE(RIGHT(A4,5))))</f>
        <v>1</v>
      </c>
    </row>
    <row r="14" spans="1:13" x14ac:dyDescent="0.25">
      <c r="C14" t="b">
        <f>AND(LEFT(A4,2)="EN",LEN(A4)=7,COUNTIF(A4:$A$8,A4)=1,ISNUMBER((VALUE(RIGHT(A4,5)))))</f>
        <v>1</v>
      </c>
    </row>
  </sheetData>
  <mergeCells count="10">
    <mergeCell ref="J2:J3"/>
    <mergeCell ref="K2:K3"/>
    <mergeCell ref="L2:L3"/>
    <mergeCell ref="M2:M3"/>
    <mergeCell ref="A2:A3"/>
    <mergeCell ref="B2:B3"/>
    <mergeCell ref="C2:D2"/>
    <mergeCell ref="E2:F2"/>
    <mergeCell ref="G2:H2"/>
    <mergeCell ref="I2:I3"/>
  </mergeCells>
  <phoneticPr fontId="3" type="noConversion"/>
  <conditionalFormatting sqref="M4:M8">
    <cfRule type="containsText" dxfId="3" priority="1" operator="containsText" text="pass">
      <formula>NOT(ISERROR(SEARCH("pass",M4)))</formula>
    </cfRule>
    <cfRule type="containsText" dxfId="2" priority="2" operator="containsText" text="Absent">
      <formula>NOT(ISERROR(SEARCH("Absent",M4)))</formula>
    </cfRule>
    <cfRule type="containsText" dxfId="1" priority="3" operator="containsText" text="fail">
      <formula>NOT(ISERROR(SEARCH("fail",M4)))</formula>
    </cfRule>
    <cfRule type="containsText" dxfId="0" priority="4" operator="containsText" text="fail">
      <formula>NOT(ISERROR(SEARCH("fail",M4)))</formula>
    </cfRule>
  </conditionalFormatting>
  <dataValidations count="1">
    <dataValidation type="custom" allowBlank="1" showInputMessage="1" showErrorMessage="1" sqref="A4:A8" xr:uid="{D215C3BB-0E74-4A2F-B989-98D0B0C21FB3}">
      <formula1>AND(LEFT(A4,2)="EN",LEN(A4)=7,COUNTIF($A$4:$A$8,A4)=1,ISNUMBER((VALUE(RIGHT(A4,5)))))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Sheet1 (2)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IIST</dc:creator>
  <cp:lastModifiedBy>shohan</cp:lastModifiedBy>
  <cp:lastPrinted>2026-01-26T11:04:56Z</cp:lastPrinted>
  <dcterms:created xsi:type="dcterms:W3CDTF">2015-06-05T18:17:20Z</dcterms:created>
  <dcterms:modified xsi:type="dcterms:W3CDTF">2026-04-28T09:45:14Z</dcterms:modified>
</cp:coreProperties>
</file>