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IST\Desktop\Jonayet123\Job-2\"/>
    </mc:Choice>
  </mc:AlternateContent>
  <xr:revisionPtr revIDLastSave="0" documentId="13_ncr:1_{2B683B16-0CC3-4D70-8CAC-15A2103CCB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I3" i="1"/>
  <c r="I4" i="1"/>
  <c r="I5" i="1"/>
  <c r="I6" i="1"/>
  <c r="I7" i="1"/>
  <c r="I8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<sst xmlns="http://schemas.openxmlformats.org/spreadsheetml/2006/main" count="18" uniqueCount="17">
  <si>
    <t>Age Sheet</t>
  </si>
  <si>
    <t>S/N</t>
  </si>
  <si>
    <t>Name</t>
  </si>
  <si>
    <t>Age</t>
  </si>
  <si>
    <t>SUM</t>
  </si>
  <si>
    <t>AVERAGE</t>
  </si>
  <si>
    <t>COUNT</t>
  </si>
  <si>
    <t>MAX</t>
  </si>
  <si>
    <t>MIN</t>
  </si>
  <si>
    <t>Age 
Category</t>
  </si>
  <si>
    <t xml:space="preserve">Ali </t>
  </si>
  <si>
    <t xml:space="preserve">Riad </t>
  </si>
  <si>
    <t>Hasan</t>
  </si>
  <si>
    <t>Amena</t>
  </si>
  <si>
    <t>Roy</t>
  </si>
  <si>
    <t>Sarag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</si>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</sst>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0" fillId="0" borderId="2" xfId="0" applyBorder="1"/>
    <xf numFmtId="0" fontId="2" fillId="3" borderId="1" xfId="1" applyFont="1" applyFill="1" applyAlignment="1">
      <alignment horizontal="center" vertical="center"/>
    </xf>
    <xf numFmtId="0" fontId="2" fillId="3" borderId="1" xfId="1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" xfId="1" applyFont="1" applyFill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Ali </c:v>
                </c:pt>
                <c:pt idx="1">
                  <c:v>Riad </c:v>
                </c:pt>
                <c:pt idx="2">
                  <c:v>Hasan</c:v>
                </c:pt>
                <c:pt idx="3">
                  <c:v>Amena</c:v>
                </c:pt>
                <c:pt idx="4">
                  <c:v>Roy</c:v>
                </c:pt>
                <c:pt idx="5">
                  <c:v>Sarag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28</c:v>
                </c:pt>
                <c:pt idx="4">
                  <c:v>44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6-4A12-B488-FCA38238D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2785656"/>
        <c:axId val="412778096"/>
      </c:barChart>
      <c:catAx>
        <c:axId val="41278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78096"/>
        <c:crosses val="autoZero"/>
        <c:auto val="1"/>
        <c:lblAlgn val="ctr"/>
        <c:lblOffset val="100"/>
        <c:noMultiLvlLbl val="0"/>
      </c:catAx>
      <c:valAx>
        <c:axId val="4127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85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9</xdr:row>
      <xdr:rowOff>42862</xdr:rowOff>
    </xdr:from>
    <xdr:to>
      <xdr:col>9</xdr:col>
      <xdr:colOff>47625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93A5D-A134-CDF9-5FB0-6D00B5764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A13" workbookViewId="0">
      <selection activeCell="L4" sqref="L4"/>
    </sheetView>
  </sheetViews>
  <sheetFormatPr defaultRowHeight="15" x14ac:dyDescent="0.25"/>
  <cols>
    <col min="1" max="1" width="4.28515625" bestFit="1" customWidth="1"/>
  </cols>
  <sheetData>
    <row r="1" spans="1:12" ht="16.5" thickTop="1" thickBo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12" ht="31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K2" s="4" t="s">
        <v>16</v>
      </c>
      <c r="L2" s="4"/>
    </row>
    <row r="3" spans="1:12" ht="16.5" thickTop="1" thickBot="1" x14ac:dyDescent="0.3">
      <c r="A3" s="2">
        <v>1</v>
      </c>
      <c r="B3" s="2" t="s">
        <v>10</v>
      </c>
      <c r="C3" s="2">
        <v>30</v>
      </c>
      <c r="D3" s="6">
        <f>SUM(C3:C8)</f>
        <v>187</v>
      </c>
      <c r="E3" s="6">
        <f>AVERAGE(C3:C8)</f>
        <v>31.166666666666668</v>
      </c>
      <c r="F3" s="6">
        <f>COUNT(C3:C8)</f>
        <v>6</v>
      </c>
      <c r="G3" s="6">
        <f>MAX(C3:C8)</f>
        <v>44</v>
      </c>
      <c r="H3" s="6">
        <f>MIN(C3:C8)</f>
        <v>25</v>
      </c>
      <c r="I3" s="2" t="str">
        <f>IF(AND(C3&gt;=1,C3&lt;=12),"Children",IF(AND(C3&gt;=18,C3&lt;=25),"Youth",IF(AND(C3&gt;=26,C3&lt;=44),"Adult")))</f>
        <v>Adult</v>
      </c>
      <c r="K3" s="1" t="s">
        <v>15</v>
      </c>
      <c r="L3" s="1" t="str">
        <f>VLOOKUP(K3,$B$3:$I$8,8,0)</f>
        <v>Adult</v>
      </c>
    </row>
    <row r="4" spans="1:12" ht="16.5" thickTop="1" thickBot="1" x14ac:dyDescent="0.3">
      <c r="A4" s="2">
        <v>2</v>
      </c>
      <c r="B4" s="2" t="s">
        <v>11</v>
      </c>
      <c r="C4" s="2">
        <v>25</v>
      </c>
      <c r="D4" s="7"/>
      <c r="E4" s="7"/>
      <c r="F4" s="7"/>
      <c r="G4" s="7"/>
      <c r="H4" s="7"/>
      <c r="I4" s="2" t="str">
        <f t="shared" ref="I4:I8" si="0">IF(AND(C4&gt;=1,C4&lt;=12),"Children",IF(AND(C4&gt;=18,C4&lt;=25),"Youth",IF(AND(C4&gt;=26,C4&lt;=44),"Adult")))</f>
        <v>Youth</v>
      </c>
    </row>
    <row r="5" spans="1:12" ht="16.5" thickTop="1" thickBot="1" x14ac:dyDescent="0.3">
      <c r="A5" s="2">
        <v>3</v>
      </c>
      <c r="B5" s="2" t="s">
        <v>12</v>
      </c>
      <c r="C5" s="2">
        <v>30</v>
      </c>
      <c r="D5" s="7"/>
      <c r="E5" s="7"/>
      <c r="F5" s="7"/>
      <c r="G5" s="7"/>
      <c r="H5" s="7"/>
      <c r="I5" s="2" t="str">
        <f t="shared" si="0"/>
        <v>Adult</v>
      </c>
    </row>
    <row r="6" spans="1:12" ht="16.5" thickTop="1" thickBot="1" x14ac:dyDescent="0.3">
      <c r="A6" s="2">
        <v>4</v>
      </c>
      <c r="B6" s="2" t="s">
        <v>13</v>
      </c>
      <c r="C6" s="2">
        <v>28</v>
      </c>
      <c r="D6" s="7"/>
      <c r="E6" s="7"/>
      <c r="F6" s="7"/>
      <c r="G6" s="7"/>
      <c r="H6" s="7"/>
      <c r="I6" s="2" t="str">
        <f t="shared" si="0"/>
        <v>Adult</v>
      </c>
    </row>
    <row r="7" spans="1:12" ht="16.5" thickTop="1" thickBot="1" x14ac:dyDescent="0.3">
      <c r="A7" s="2">
        <v>5</v>
      </c>
      <c r="B7" s="2" t="s">
        <v>14</v>
      </c>
      <c r="C7" s="2">
        <v>44</v>
      </c>
      <c r="D7" s="7"/>
      <c r="E7" s="7"/>
      <c r="F7" s="7"/>
      <c r="G7" s="7"/>
      <c r="H7" s="7"/>
      <c r="I7" s="2" t="str">
        <f t="shared" si="0"/>
        <v>Adult</v>
      </c>
    </row>
    <row r="8" spans="1:12" ht="16.5" thickTop="1" thickBot="1" x14ac:dyDescent="0.3">
      <c r="A8" s="2">
        <v>6</v>
      </c>
      <c r="B8" s="2" t="s">
        <v>15</v>
      </c>
      <c r="C8" s="2">
        <v>30</v>
      </c>
      <c r="D8" s="8"/>
      <c r="E8" s="8"/>
      <c r="F8" s="8"/>
      <c r="G8" s="8"/>
      <c r="H8" s="8"/>
      <c r="I8" s="2" t="str">
        <f t="shared" si="0"/>
        <v>Adult</v>
      </c>
    </row>
    <row r="9" spans="1:12" ht="15.75" thickTop="1" x14ac:dyDescent="0.25"/>
  </sheetData>
  <mergeCells count="7">
    <mergeCell ref="K2:L2"/>
    <mergeCell ref="A1:I1"/>
    <mergeCell ref="D3:D8"/>
    <mergeCell ref="E3:E8"/>
    <mergeCell ref="F3:F8"/>
    <mergeCell ref="G3:G8"/>
    <mergeCell ref="H3:H8"/>
  </mergeCells>
  <conditionalFormatting sqref="I3:I8">
    <cfRule type="cellIs" dxfId="3" priority="1" operator="equal">
      <formula>"Children"</formula>
    </cfRule>
    <cfRule type="cellIs" dxfId="2" priority="2" operator="equal">
      <formula>"Chirdren"</formula>
    </cfRule>
    <cfRule type="cellIs" dxfId="1" priority="3" operator="equal">
      <formula>"Youth"</formula>
    </cfRule>
    <cfRule type="cellIs" dxfId="0" priority="4" operator="equal">
      <formula>"Adult"</formula>
    </cfRule>
  </conditionalFormatting>
  <dataValidations count="2">
    <dataValidation type="whole" allowBlank="1" showInputMessage="1" showErrorMessage="1" sqref="C3:C8" xr:uid="{6E298097-64B4-4B48-898E-80AC29C0DB4E}">
      <formula1>1</formula1>
      <formula2>44</formula2>
    </dataValidation>
    <dataValidation type="list" allowBlank="1" showInputMessage="1" showErrorMessage="1" sqref="K3" xr:uid="{136CD7AC-4A0B-404C-B821-BAE8F72BE4E8}">
      <formula1>$B$3:$B$8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IIST</dc:creator>
  <cp:lastModifiedBy>IIST</cp:lastModifiedBy>
  <dcterms:created xsi:type="dcterms:W3CDTF">2015-06-05T18:17:20Z</dcterms:created>
  <dcterms:modified xsi:type="dcterms:W3CDTF">2026-04-25T16:35:07Z</dcterms:modified>
</cp:coreProperties>
</file>