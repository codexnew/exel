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IST\Desktop\Abu Hasan\"/>
    </mc:Choice>
  </mc:AlternateContent>
  <xr:revisionPtr revIDLastSave="0" documentId="13_ncr:1_{B426C6CC-551A-4C7B-8976-D52097DC08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F4" i="1"/>
  <c r="E14" i="1"/>
  <c r="G5" i="1"/>
  <c r="G6" i="1"/>
  <c r="G7" i="1"/>
  <c r="G8" i="1"/>
  <c r="G14" i="1" s="1"/>
  <c r="G9" i="1"/>
  <c r="G10" i="1"/>
  <c r="G11" i="1"/>
  <c r="G12" i="1"/>
  <c r="G13" i="1"/>
  <c r="H14" i="1"/>
  <c r="J5" i="1"/>
  <c r="J13" i="1"/>
  <c r="I5" i="1"/>
  <c r="I6" i="1"/>
  <c r="I7" i="1"/>
  <c r="I8" i="1"/>
  <c r="J8" i="1" s="1"/>
  <c r="I10" i="1"/>
  <c r="I11" i="1"/>
  <c r="J11" i="1" s="1"/>
  <c r="I12" i="1"/>
  <c r="J12" i="1" s="1"/>
  <c r="I13" i="1"/>
  <c r="K13" i="1" s="1"/>
  <c r="I4" i="1"/>
  <c r="F5" i="1"/>
  <c r="F6" i="1"/>
  <c r="F7" i="1"/>
  <c r="F8" i="1"/>
  <c r="F9" i="1"/>
  <c r="I9" i="1" s="1"/>
  <c r="F10" i="1"/>
  <c r="F11" i="1"/>
  <c r="F12" i="1"/>
  <c r="F13" i="1"/>
  <c r="J4" i="1" l="1"/>
  <c r="K4" i="1" s="1"/>
  <c r="J9" i="1"/>
  <c r="K9" i="1" s="1"/>
  <c r="F14" i="1"/>
  <c r="I14" i="1"/>
  <c r="K7" i="1"/>
  <c r="K11" i="1"/>
  <c r="J7" i="1"/>
  <c r="K5" i="1"/>
  <c r="J10" i="1"/>
  <c r="K10" i="1" s="1"/>
  <c r="J6" i="1"/>
  <c r="K6" i="1" s="1"/>
  <c r="K12" i="1"/>
  <c r="K8" i="1"/>
  <c r="K14" i="1" l="1"/>
  <c r="J14" i="1"/>
</calcChain>
</file>

<file path=xl/sharedStrings.xml><?xml version="1.0" encoding="utf-8"?>
<sst xmlns="http://schemas.openxmlformats.org/spreadsheetml/2006/main" count="49" uniqueCount="38">
  <si>
    <t>Weekly Wages Sheet For Worker</t>
  </si>
  <si>
    <t>Sl.
NO</t>
  </si>
  <si>
    <t>Emp_ID</t>
  </si>
  <si>
    <t xml:space="preserve">Name </t>
  </si>
  <si>
    <t>Designation</t>
  </si>
  <si>
    <t>Houre/ Week</t>
  </si>
  <si>
    <t>Basic Wages</t>
  </si>
  <si>
    <t>Overtime
Wsges</t>
  </si>
  <si>
    <t>Medical
Allowance</t>
  </si>
  <si>
    <t>Gross
Amount</t>
  </si>
  <si>
    <t>IT</t>
  </si>
  <si>
    <t>Net
 Amount</t>
  </si>
  <si>
    <t>E101001</t>
  </si>
  <si>
    <t>E101002</t>
  </si>
  <si>
    <t>E101003</t>
  </si>
  <si>
    <t>E101004</t>
  </si>
  <si>
    <t>E101005</t>
  </si>
  <si>
    <t>E101006</t>
  </si>
  <si>
    <t>E101007</t>
  </si>
  <si>
    <t>E101008</t>
  </si>
  <si>
    <t>A</t>
  </si>
  <si>
    <t>B</t>
  </si>
  <si>
    <t>C</t>
  </si>
  <si>
    <t>D</t>
  </si>
  <si>
    <t>E</t>
  </si>
  <si>
    <t>F</t>
  </si>
  <si>
    <t>G</t>
  </si>
  <si>
    <t>H</t>
  </si>
  <si>
    <t>Grade-1</t>
  </si>
  <si>
    <t>Grade-3</t>
  </si>
  <si>
    <t>Grade-2</t>
  </si>
  <si>
    <t>E101009</t>
  </si>
  <si>
    <t>E101010</t>
  </si>
  <si>
    <t>i</t>
  </si>
  <si>
    <t>j</t>
  </si>
  <si>
    <t>`=AND(LEFT(B4,1)="E",LEN(B4)=7,COUNTIF($B$4:$B$11,B4)=1,ISNUMBER(VALUE(RIGHT(B4,6))))`</t>
  </si>
  <si>
    <t>`=IF(D4="Grade-1",E4*150,IF(D4="Grade-2",E4*125,IF(D4="Grade-3",E4*100)))`</t>
  </si>
  <si>
    <t>`=IF(E4&gt;40,(E5-40),E4*200,0)`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</si>
</sst>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164" fontId="2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377032</xdr:colOff>
      <xdr:row>1</xdr:row>
      <xdr:rowOff>39008</xdr:rowOff>
    </xdr:from>
    <xdr:to>
      <xdr:col>16</xdr:col>
      <xdr:colOff>572634</xdr:colOff>
      <xdr:row>13</xdr:row>
      <xdr:rowOff>134938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74D64-BA17-C7A0-E56C-EE7A69CE8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6228" y="481240"/>
          <a:ext cx="3257210" cy="2760662"/>
        </a:xfrm>
        <a:prstGeom prst="rect">
          <a:avLst/>
        </a:prstGeom>
      </xdr:spPr>
    </xdr:pic>
    <xdr:clientData/>
  </xdr:twoCellAnchor>
  <xdr:twoCellAnchor>
    <xdr:from>
      <xdr:col>2</xdr:col>
      <xdr:colOff>170090</xdr:colOff>
      <xdr:row>17</xdr:row>
      <xdr:rowOff>76540</xdr:rowOff>
    </xdr:from>
    <xdr:to>
      <xdr:col>11</xdr:col>
      <xdr:colOff>68036</xdr:colOff>
      <xdr:row>17</xdr:row>
      <xdr:rowOff>85044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4C5775C-977D-450B-BDA3-48004BE83FC6}"/>
            </a:ext>
          </a:extLst>
        </xdr:cNvPr>
        <xdr:cNvCxnSpPr/>
      </xdr:nvCxnSpPr>
      <xdr:spPr>
        <a:xfrm flipV="1">
          <a:off x="1131094" y="3878036"/>
          <a:ext cx="6284799" cy="8504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4" zoomScale="84" zoomScaleNormal="84" workbookViewId="0">
      <selection activeCell="D20" sqref="D20"/>
    </sheetView>
  </sheetViews>
  <sheetFormatPr defaultRowHeight="15" x14ac:dyDescent="0.25"/>
  <cols>
    <col min="1" max="1" width="5.28515625" customWidth="1"/>
    <col min="4" max="4" width="11.7109375" customWidth="1"/>
    <col min="5" max="5" width="13.42578125" customWidth="1"/>
    <col min="6" max="6" width="12.42578125" customWidth="1"/>
    <col min="8" max="8" width="11.7109375" customWidth="1"/>
    <col min="9" max="9" width="9.85546875" customWidth="1"/>
  </cols>
  <sheetData>
    <row r="1" spans="1:11" ht="35.2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42.7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25">
      <c r="A4" s="6">
        <v>1</v>
      </c>
      <c r="B4" s="4" t="s">
        <v>12</v>
      </c>
      <c r="C4" s="4" t="s">
        <v>20</v>
      </c>
      <c r="D4" s="4" t="s">
        <v>28</v>
      </c>
      <c r="E4" s="4">
        <v>40</v>
      </c>
      <c r="F4" s="4">
        <f>IF(D4="Grade-1",E4*150,IF(D4="Grade-2",E4*125,IF(D4="Grade-3",E4*100)))</f>
        <v>6000</v>
      </c>
      <c r="G4" s="4">
        <f>IF(E4&gt;40,E4*200,0)</f>
        <v>0</v>
      </c>
      <c r="H4" s="4">
        <v>500</v>
      </c>
      <c r="I4" s="4">
        <f>F4+G4</f>
        <v>6000</v>
      </c>
      <c r="J4" s="4">
        <f>I4*10%</f>
        <v>600</v>
      </c>
      <c r="K4" s="4">
        <f>I4+H4-J4</f>
        <v>5900</v>
      </c>
    </row>
    <row r="5" spans="1:11" x14ac:dyDescent="0.25">
      <c r="A5" s="6">
        <v>2</v>
      </c>
      <c r="B5" s="4" t="s">
        <v>13</v>
      </c>
      <c r="C5" s="4" t="s">
        <v>21</v>
      </c>
      <c r="D5" s="4" t="s">
        <v>29</v>
      </c>
      <c r="E5" s="4">
        <v>55</v>
      </c>
      <c r="F5" s="4">
        <f t="shared" ref="F5:F13" si="0">IF(D5="Grade-1",E5*150,IF(D5="Grade-2",E5*125,IF(D5="Grade-3",E5*100)))</f>
        <v>5500</v>
      </c>
      <c r="G5" s="4">
        <f t="shared" ref="G5:G13" si="1">IF(E5&gt;40,E5*200,0)</f>
        <v>11000</v>
      </c>
      <c r="H5" s="4">
        <v>500</v>
      </c>
      <c r="I5" s="4">
        <f t="shared" ref="I5:I13" si="2">F5+G5</f>
        <v>16500</v>
      </c>
      <c r="J5" s="4">
        <f t="shared" ref="J5:J13" si="3">I5*10%</f>
        <v>1650</v>
      </c>
      <c r="K5" s="4">
        <f t="shared" ref="K5:K13" si="4">I5+H5-J5</f>
        <v>15350</v>
      </c>
    </row>
    <row r="6" spans="1:11" x14ac:dyDescent="0.25">
      <c r="A6" s="6">
        <v>3</v>
      </c>
      <c r="B6" s="4" t="s">
        <v>14</v>
      </c>
      <c r="C6" s="4" t="s">
        <v>22</v>
      </c>
      <c r="D6" s="4" t="s">
        <v>30</v>
      </c>
      <c r="E6" s="4">
        <v>43</v>
      </c>
      <c r="F6" s="4">
        <f t="shared" si="0"/>
        <v>5375</v>
      </c>
      <c r="G6" s="4">
        <f t="shared" si="1"/>
        <v>8600</v>
      </c>
      <c r="H6" s="4">
        <v>500</v>
      </c>
      <c r="I6" s="4">
        <f t="shared" si="2"/>
        <v>13975</v>
      </c>
      <c r="J6" s="4">
        <f t="shared" si="3"/>
        <v>1397.5</v>
      </c>
      <c r="K6" s="4">
        <f t="shared" si="4"/>
        <v>13077.5</v>
      </c>
    </row>
    <row r="7" spans="1:11" x14ac:dyDescent="0.25">
      <c r="A7" s="6">
        <v>4</v>
      </c>
      <c r="B7" s="4" t="s">
        <v>15</v>
      </c>
      <c r="C7" s="4" t="s">
        <v>23</v>
      </c>
      <c r="D7" s="4" t="s">
        <v>29</v>
      </c>
      <c r="E7" s="4">
        <v>44</v>
      </c>
      <c r="F7" s="4">
        <f t="shared" si="0"/>
        <v>4400</v>
      </c>
      <c r="G7" s="4">
        <f t="shared" si="1"/>
        <v>8800</v>
      </c>
      <c r="H7" s="4">
        <v>500</v>
      </c>
      <c r="I7" s="4">
        <f t="shared" si="2"/>
        <v>13200</v>
      </c>
      <c r="J7" s="4">
        <f t="shared" si="3"/>
        <v>1320</v>
      </c>
      <c r="K7" s="4">
        <f t="shared" si="4"/>
        <v>12380</v>
      </c>
    </row>
    <row r="8" spans="1:11" x14ac:dyDescent="0.25">
      <c r="A8" s="6">
        <v>5</v>
      </c>
      <c r="B8" s="4" t="s">
        <v>16</v>
      </c>
      <c r="C8" s="4" t="s">
        <v>24</v>
      </c>
      <c r="D8" s="4" t="s">
        <v>28</v>
      </c>
      <c r="E8" s="4">
        <v>48</v>
      </c>
      <c r="F8" s="4">
        <f t="shared" si="0"/>
        <v>7200</v>
      </c>
      <c r="G8" s="4">
        <f t="shared" si="1"/>
        <v>9600</v>
      </c>
      <c r="H8" s="4">
        <v>500</v>
      </c>
      <c r="I8" s="4">
        <f t="shared" si="2"/>
        <v>16800</v>
      </c>
      <c r="J8" s="4">
        <f t="shared" si="3"/>
        <v>1680</v>
      </c>
      <c r="K8" s="4">
        <f t="shared" si="4"/>
        <v>15620</v>
      </c>
    </row>
    <row r="9" spans="1:11" x14ac:dyDescent="0.25">
      <c r="A9" s="6">
        <v>6</v>
      </c>
      <c r="B9" s="4" t="s">
        <v>17</v>
      </c>
      <c r="C9" s="4" t="s">
        <v>25</v>
      </c>
      <c r="D9" s="4" t="s">
        <v>29</v>
      </c>
      <c r="E9" s="4">
        <v>54</v>
      </c>
      <c r="F9" s="4">
        <f t="shared" si="0"/>
        <v>5400</v>
      </c>
      <c r="G9" s="4">
        <f t="shared" si="1"/>
        <v>10800</v>
      </c>
      <c r="H9" s="4">
        <v>500</v>
      </c>
      <c r="I9" s="4">
        <f t="shared" si="2"/>
        <v>16200</v>
      </c>
      <c r="J9" s="4">
        <f t="shared" si="3"/>
        <v>1620</v>
      </c>
      <c r="K9" s="4">
        <f t="shared" si="4"/>
        <v>15080</v>
      </c>
    </row>
    <row r="10" spans="1:11" x14ac:dyDescent="0.25">
      <c r="A10" s="6">
        <v>7</v>
      </c>
      <c r="B10" s="4" t="s">
        <v>18</v>
      </c>
      <c r="C10" s="4" t="s">
        <v>26</v>
      </c>
      <c r="D10" s="4" t="s">
        <v>30</v>
      </c>
      <c r="E10" s="4">
        <v>45</v>
      </c>
      <c r="F10" s="4">
        <f t="shared" si="0"/>
        <v>5625</v>
      </c>
      <c r="G10" s="4">
        <f t="shared" si="1"/>
        <v>9000</v>
      </c>
      <c r="H10" s="4">
        <v>500</v>
      </c>
      <c r="I10" s="4">
        <f t="shared" si="2"/>
        <v>14625</v>
      </c>
      <c r="J10" s="4">
        <f t="shared" si="3"/>
        <v>1462.5</v>
      </c>
      <c r="K10" s="4">
        <f t="shared" si="4"/>
        <v>13662.5</v>
      </c>
    </row>
    <row r="11" spans="1:11" x14ac:dyDescent="0.25">
      <c r="A11" s="6">
        <v>8</v>
      </c>
      <c r="B11" s="4" t="s">
        <v>19</v>
      </c>
      <c r="C11" s="4" t="s">
        <v>27</v>
      </c>
      <c r="D11" s="4" t="s">
        <v>29</v>
      </c>
      <c r="E11" s="4">
        <v>35</v>
      </c>
      <c r="F11" s="4">
        <f t="shared" si="0"/>
        <v>3500</v>
      </c>
      <c r="G11" s="4">
        <f t="shared" si="1"/>
        <v>0</v>
      </c>
      <c r="H11" s="4">
        <v>500</v>
      </c>
      <c r="I11" s="4">
        <f t="shared" si="2"/>
        <v>3500</v>
      </c>
      <c r="J11" s="4">
        <f t="shared" si="3"/>
        <v>350</v>
      </c>
      <c r="K11" s="4">
        <f t="shared" si="4"/>
        <v>3650</v>
      </c>
    </row>
    <row r="12" spans="1:11" x14ac:dyDescent="0.25">
      <c r="A12" s="6">
        <v>9</v>
      </c>
      <c r="B12" s="4" t="s">
        <v>31</v>
      </c>
      <c r="C12" s="4" t="s">
        <v>33</v>
      </c>
      <c r="D12" s="4" t="s">
        <v>30</v>
      </c>
      <c r="E12" s="1">
        <v>47</v>
      </c>
      <c r="F12" s="4">
        <f t="shared" si="0"/>
        <v>5875</v>
      </c>
      <c r="G12" s="4">
        <f t="shared" si="1"/>
        <v>9400</v>
      </c>
      <c r="H12" s="4">
        <v>500</v>
      </c>
      <c r="I12" s="4">
        <f t="shared" si="2"/>
        <v>15275</v>
      </c>
      <c r="J12" s="4">
        <f t="shared" si="3"/>
        <v>1527.5</v>
      </c>
      <c r="K12" s="4">
        <f t="shared" si="4"/>
        <v>14247.5</v>
      </c>
    </row>
    <row r="13" spans="1:11" x14ac:dyDescent="0.25">
      <c r="A13" s="6">
        <v>10</v>
      </c>
      <c r="B13" s="4" t="s">
        <v>32</v>
      </c>
      <c r="C13" s="4" t="s">
        <v>34</v>
      </c>
      <c r="D13" s="4" t="s">
        <v>29</v>
      </c>
      <c r="E13" s="1">
        <v>49</v>
      </c>
      <c r="F13" s="4">
        <f t="shared" si="0"/>
        <v>4900</v>
      </c>
      <c r="G13" s="4">
        <f t="shared" si="1"/>
        <v>9800</v>
      </c>
      <c r="H13" s="4">
        <v>500</v>
      </c>
      <c r="I13" s="4">
        <f t="shared" si="2"/>
        <v>14700</v>
      </c>
      <c r="J13" s="4">
        <f t="shared" si="3"/>
        <v>1470</v>
      </c>
      <c r="K13" s="4">
        <f t="shared" si="4"/>
        <v>13730</v>
      </c>
    </row>
    <row r="14" spans="1:11" x14ac:dyDescent="0.25">
      <c r="E14" t="b">
        <f>AND(LEFT(B4,1)="E",LEN(B4)=7,COUNTIF($B$4:$B$11,B4)=1,ISNUMBER(VALUE(RIGHT(B4,6))))</f>
        <v>1</v>
      </c>
      <c r="F14" s="5">
        <f>SUM(F4:F13)</f>
        <v>53775</v>
      </c>
      <c r="G14" s="5">
        <f t="shared" ref="G14:K14" si="5">SUM(G4:G13)</f>
        <v>77000</v>
      </c>
      <c r="H14" s="5">
        <f t="shared" si="5"/>
        <v>5000</v>
      </c>
      <c r="I14" s="5">
        <f t="shared" si="5"/>
        <v>130775</v>
      </c>
      <c r="J14" s="5">
        <f t="shared" si="5"/>
        <v>13077.5</v>
      </c>
      <c r="K14" s="5">
        <f t="shared" si="5"/>
        <v>122697.5</v>
      </c>
    </row>
    <row r="17" spans="1:4" x14ac:dyDescent="0.25">
      <c r="B17" s="3" t="s">
        <v>2</v>
      </c>
      <c r="D17" t="s">
        <v>35</v>
      </c>
    </row>
    <row r="18" spans="1:4" x14ac:dyDescent="0.25">
      <c r="B18" s="3" t="s">
        <v>4</v>
      </c>
    </row>
    <row r="19" spans="1:4" x14ac:dyDescent="0.25">
      <c r="B19" s="3" t="s">
        <v>6</v>
      </c>
      <c r="D19" t="s">
        <v>36</v>
      </c>
    </row>
    <row r="20" spans="1:4" ht="21.75" customHeight="1" x14ac:dyDescent="0.25">
      <c r="A20" s="9" t="s">
        <v>7</v>
      </c>
      <c r="B20" s="10"/>
      <c r="D20" t="s">
        <v>37</v>
      </c>
    </row>
  </sheetData>
  <mergeCells count="3">
    <mergeCell ref="A1:K1"/>
    <mergeCell ref="A2:K2"/>
    <mergeCell ref="A20:B20"/>
  </mergeCells>
  <phoneticPr fontId="1" type="noConversion"/>
  <dataValidations count="2">
    <dataValidation type="custom" allowBlank="1" showInputMessage="1" showErrorMessage="1" sqref="B4:B13" xr:uid="{1858277D-DC66-4B40-9846-037B2789A1B8}">
      <formula1>AND(LEFT(B4,1)="E",LEN(B4)=7,COUNTIF($B$4:$B$11,B4)=1,ISNUMBER(VALUE(RIGHT(B4,6))))</formula1>
    </dataValidation>
    <dataValidation type="list" allowBlank="1" showInputMessage="1" showErrorMessage="1" sqref="D4:D13" xr:uid="{E36AF2B7-4849-46FA-A605-333FD067EF1B}">
      <formula1>"Grade-1,Grade-2,Grade-3,"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IIST</dc:creator>
  <cp:lastModifiedBy>shohan</cp:lastModifiedBy>
  <dcterms:created xsi:type="dcterms:W3CDTF">2015-06-05T18:17:20Z</dcterms:created>
  <dcterms:modified xsi:type="dcterms:W3CDTF">2026-04-13T10:02:20Z</dcterms:modified>
</cp:coreProperties>
</file>