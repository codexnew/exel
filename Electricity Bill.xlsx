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IST\Desktop\Jonayet123\Job-2\"/>
    </mc:Choice>
  </mc:AlternateContent>
  <xr:revisionPtr revIDLastSave="0" documentId="13_ncr:1_{F2EC484C-8BB0-4E12-9419-632105C5E9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M3" i="1"/>
  <c r="L3" i="1"/>
  <c r="K4" i="1"/>
  <c r="K5" i="1"/>
  <c r="K6" i="1"/>
  <c r="K7" i="1"/>
  <c r="K8" i="1"/>
  <c r="K9" i="1"/>
  <c r="K10" i="1"/>
  <c r="K3" i="1"/>
  <c r="J4" i="1"/>
  <c r="J5" i="1"/>
  <c r="J6" i="1"/>
  <c r="J7" i="1"/>
  <c r="J8" i="1"/>
  <c r="J9" i="1"/>
  <c r="J10" i="1"/>
  <c r="J3" i="1"/>
  <c r="I4" i="1"/>
  <c r="I5" i="1"/>
  <c r="I6" i="1"/>
  <c r="I7" i="1"/>
  <c r="I8" i="1"/>
  <c r="I9" i="1"/>
  <c r="I10" i="1"/>
  <c r="I3" i="1"/>
  <c r="H4" i="1"/>
  <c r="H5" i="1"/>
  <c r="H6" i="1"/>
  <c r="H7" i="1"/>
  <c r="H8" i="1"/>
  <c r="H9" i="1"/>
  <c r="H10" i="1"/>
  <c r="H3" i="1"/>
  <c r="G4" i="1"/>
  <c r="G5" i="1"/>
  <c r="G6" i="1"/>
  <c r="G7" i="1"/>
  <c r="G8" i="1"/>
  <c r="G9" i="1"/>
  <c r="G10" i="1"/>
  <c r="G3" i="1"/>
  <c r="E12" i="1"/>
</calcChain>
</file>

<file path=xl/sharedStrings.xml><?xml version="1.0" encoding="utf-8"?>
<sst xmlns="http://schemas.openxmlformats.org/spreadsheetml/2006/main" count="34" uniqueCount="33">
  <si>
    <t>Electricity Bill</t>
  </si>
  <si>
    <t>Sl.No</t>
  </si>
  <si>
    <t>Meter 
no</t>
  </si>
  <si>
    <t>Customer 
Name</t>
  </si>
  <si>
    <t xml:space="preserve">Date </t>
  </si>
  <si>
    <t>Previsous
Unit</t>
  </si>
  <si>
    <t>Current 
Unit</t>
  </si>
  <si>
    <t>Consumer 
Unit</t>
  </si>
  <si>
    <t xml:space="preserve">Bill </t>
  </si>
  <si>
    <t>Miter 
Charge</t>
  </si>
  <si>
    <t>Vat</t>
  </si>
  <si>
    <t>Total</t>
  </si>
  <si>
    <t>Max</t>
  </si>
  <si>
    <t xml:space="preserve">Min </t>
  </si>
  <si>
    <t xml:space="preserve">Islail </t>
  </si>
  <si>
    <t>Robi</t>
  </si>
  <si>
    <t>Sakib</t>
  </si>
  <si>
    <t>Shojib</t>
  </si>
  <si>
    <t xml:space="preserve">Alamin </t>
  </si>
  <si>
    <t>Mitu</t>
  </si>
  <si>
    <t>Zannat</t>
  </si>
  <si>
    <t>Jakir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</si>
  <si>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</si>
  <si>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</si>
  <si>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</si>
  <si>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</si>
  <si>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</si>
  <si>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</si>
  <si>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</si>
  <si>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</si>
  <si>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Meter no</t>
  </si>
  <si>
    <t>Total Bill</t>
  </si>
  <si>
    <t>Sample-2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</si>
</sst>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F12" sqref="F12"/>
    </sheetView>
  </sheetViews>
  <sheetFormatPr defaultRowHeight="15" x14ac:dyDescent="0.25"/>
  <cols>
    <col min="5" max="5" width="9.42578125" customWidth="1"/>
    <col min="7" max="7" width="11.28515625" customWidth="1"/>
  </cols>
  <sheetData>
    <row r="1" spans="1:1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45" x14ac:dyDescent="0.25">
      <c r="A2" s="3" t="s">
        <v>1</v>
      </c>
      <c r="B2" s="4" t="s">
        <v>2</v>
      </c>
      <c r="C2" s="4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pans="1:13" x14ac:dyDescent="0.25">
      <c r="A3" s="3">
        <v>1</v>
      </c>
      <c r="B3" s="3" t="s">
        <v>22</v>
      </c>
      <c r="C3" s="3" t="s">
        <v>14</v>
      </c>
      <c r="D3" s="5">
        <v>44927</v>
      </c>
      <c r="E3" s="3">
        <v>547</v>
      </c>
      <c r="F3" s="3">
        <v>547</v>
      </c>
      <c r="G3" s="3">
        <f>F3-E3</f>
        <v>0</v>
      </c>
      <c r="H3" s="3">
        <f>IF(G3&gt;=401,G3*7,IF(G3&gt;=251,G3*6.5,IF(G3&gt;=151,G3*6,IF(G3&gt;=126,G3*5.5,IF(G3&gt;=76,G3*5.2,IF(G3&lt;=75,G3*4.75))))))</f>
        <v>0</v>
      </c>
      <c r="I3" s="3">
        <f>IF(H3=0,0,36)</f>
        <v>0</v>
      </c>
      <c r="J3" s="3">
        <f>H3*10%</f>
        <v>0</v>
      </c>
      <c r="K3" s="3">
        <f>SUM(H3:J3)</f>
        <v>0</v>
      </c>
      <c r="L3" s="6">
        <f>MAX(K3:K10)</f>
        <v>2202.4499999999998</v>
      </c>
      <c r="M3" s="6">
        <f>MIN(K3:K10)</f>
        <v>0</v>
      </c>
    </row>
    <row r="4" spans="1:13" x14ac:dyDescent="0.25">
      <c r="A4" s="3">
        <v>2</v>
      </c>
      <c r="B4" s="3" t="s">
        <v>23</v>
      </c>
      <c r="C4" s="3" t="s">
        <v>15</v>
      </c>
      <c r="D4" s="5">
        <v>44928</v>
      </c>
      <c r="E4" s="3">
        <v>45</v>
      </c>
      <c r="F4" s="3">
        <v>100</v>
      </c>
      <c r="G4" s="3">
        <f t="shared" ref="G4:G10" si="0">F4-E4</f>
        <v>55</v>
      </c>
      <c r="H4" s="3">
        <f t="shared" ref="H4:H10" si="1">IF(G4&gt;=401,G4*7,IF(G4&gt;=251,G4*6.5,IF(G4&gt;=151,G4*6,IF(G4&gt;=126,G4*5.5,IF(G4&gt;=76,G4*5.2,IF(G4&lt;=75,G4*4.75))))))</f>
        <v>261.25</v>
      </c>
      <c r="I4" s="3">
        <f t="shared" ref="I4:I10" si="2">IF(H4=0,0,36)</f>
        <v>36</v>
      </c>
      <c r="J4" s="3">
        <f t="shared" ref="J4:J10" si="3">H4*10%</f>
        <v>26.125</v>
      </c>
      <c r="K4" s="3">
        <f t="shared" ref="K4:K10" si="4">SUM(H4:J4)</f>
        <v>323.375</v>
      </c>
      <c r="L4" s="7"/>
      <c r="M4" s="7"/>
    </row>
    <row r="5" spans="1:13" x14ac:dyDescent="0.25">
      <c r="A5" s="3">
        <v>3</v>
      </c>
      <c r="B5" s="3" t="s">
        <v>24</v>
      </c>
      <c r="C5" s="3" t="s">
        <v>16</v>
      </c>
      <c r="D5" s="5">
        <v>44929</v>
      </c>
      <c r="E5" s="3">
        <v>854</v>
      </c>
      <c r="F5" s="3">
        <v>980</v>
      </c>
      <c r="G5" s="3">
        <f t="shared" si="0"/>
        <v>126</v>
      </c>
      <c r="H5" s="3">
        <f t="shared" si="1"/>
        <v>693</v>
      </c>
      <c r="I5" s="3">
        <f t="shared" si="2"/>
        <v>36</v>
      </c>
      <c r="J5" s="3">
        <f t="shared" si="3"/>
        <v>69.3</v>
      </c>
      <c r="K5" s="3">
        <f t="shared" si="4"/>
        <v>798.3</v>
      </c>
      <c r="L5" s="7"/>
      <c r="M5" s="7"/>
    </row>
    <row r="6" spans="1:13" x14ac:dyDescent="0.25">
      <c r="A6" s="3">
        <v>4</v>
      </c>
      <c r="B6" s="3" t="s">
        <v>25</v>
      </c>
      <c r="C6" s="3" t="s">
        <v>17</v>
      </c>
      <c r="D6" s="5">
        <v>44930</v>
      </c>
      <c r="E6" s="3">
        <v>841</v>
      </c>
      <c r="F6" s="3">
        <v>989</v>
      </c>
      <c r="G6" s="3">
        <f t="shared" si="0"/>
        <v>148</v>
      </c>
      <c r="H6" s="3">
        <f t="shared" si="1"/>
        <v>814</v>
      </c>
      <c r="I6" s="3">
        <f t="shared" si="2"/>
        <v>36</v>
      </c>
      <c r="J6" s="3">
        <f t="shared" si="3"/>
        <v>81.400000000000006</v>
      </c>
      <c r="K6" s="3">
        <f t="shared" si="4"/>
        <v>931.4</v>
      </c>
      <c r="L6" s="7"/>
      <c r="M6" s="7"/>
    </row>
    <row r="7" spans="1:13" x14ac:dyDescent="0.25">
      <c r="A7" s="3">
        <v>5</v>
      </c>
      <c r="B7" s="3" t="s">
        <v>26</v>
      </c>
      <c r="C7" s="3" t="s">
        <v>18</v>
      </c>
      <c r="D7" s="5">
        <v>44931</v>
      </c>
      <c r="E7" s="3">
        <v>645</v>
      </c>
      <c r="F7" s="3">
        <v>750</v>
      </c>
      <c r="G7" s="3">
        <f t="shared" si="0"/>
        <v>105</v>
      </c>
      <c r="H7" s="3">
        <f t="shared" si="1"/>
        <v>546</v>
      </c>
      <c r="I7" s="3">
        <f t="shared" si="2"/>
        <v>36</v>
      </c>
      <c r="J7" s="3">
        <f t="shared" si="3"/>
        <v>54.6</v>
      </c>
      <c r="K7" s="3">
        <f t="shared" si="4"/>
        <v>636.6</v>
      </c>
      <c r="L7" s="7"/>
      <c r="M7" s="7"/>
    </row>
    <row r="8" spans="1:13" x14ac:dyDescent="0.25">
      <c r="A8" s="3">
        <v>6</v>
      </c>
      <c r="B8" s="3" t="s">
        <v>27</v>
      </c>
      <c r="C8" s="3" t="s">
        <v>19</v>
      </c>
      <c r="D8" s="5">
        <v>44932</v>
      </c>
      <c r="E8" s="3">
        <v>654</v>
      </c>
      <c r="F8" s="3">
        <v>804</v>
      </c>
      <c r="G8" s="3">
        <f t="shared" si="0"/>
        <v>150</v>
      </c>
      <c r="H8" s="3">
        <f t="shared" si="1"/>
        <v>825</v>
      </c>
      <c r="I8" s="3">
        <f t="shared" si="2"/>
        <v>36</v>
      </c>
      <c r="J8" s="3">
        <f t="shared" si="3"/>
        <v>82.5</v>
      </c>
      <c r="K8" s="3">
        <f t="shared" si="4"/>
        <v>943.5</v>
      </c>
      <c r="L8" s="7"/>
      <c r="M8" s="7"/>
    </row>
    <row r="9" spans="1:13" x14ac:dyDescent="0.25">
      <c r="A9" s="3">
        <v>7</v>
      </c>
      <c r="B9" s="3" t="s">
        <v>28</v>
      </c>
      <c r="C9" s="3" t="s">
        <v>20</v>
      </c>
      <c r="D9" s="5">
        <v>44933</v>
      </c>
      <c r="E9" s="3">
        <v>147</v>
      </c>
      <c r="F9" s="3">
        <v>450</v>
      </c>
      <c r="G9" s="3">
        <f t="shared" si="0"/>
        <v>303</v>
      </c>
      <c r="H9" s="3">
        <f t="shared" si="1"/>
        <v>1969.5</v>
      </c>
      <c r="I9" s="3">
        <f t="shared" si="2"/>
        <v>36</v>
      </c>
      <c r="J9" s="3">
        <f t="shared" si="3"/>
        <v>196.95000000000002</v>
      </c>
      <c r="K9" s="3">
        <f t="shared" si="4"/>
        <v>2202.4499999999998</v>
      </c>
      <c r="L9" s="7"/>
      <c r="M9" s="7"/>
    </row>
    <row r="10" spans="1:13" x14ac:dyDescent="0.25">
      <c r="A10" s="3">
        <v>8</v>
      </c>
      <c r="B10" s="3" t="s">
        <v>29</v>
      </c>
      <c r="C10" s="3" t="s">
        <v>21</v>
      </c>
      <c r="D10" s="5">
        <v>44934</v>
      </c>
      <c r="E10" s="3">
        <v>300</v>
      </c>
      <c r="F10" s="3">
        <v>500</v>
      </c>
      <c r="G10" s="3">
        <f t="shared" si="0"/>
        <v>200</v>
      </c>
      <c r="H10" s="3">
        <f t="shared" si="1"/>
        <v>1200</v>
      </c>
      <c r="I10" s="3">
        <f t="shared" si="2"/>
        <v>36</v>
      </c>
      <c r="J10" s="3">
        <f t="shared" si="3"/>
        <v>120</v>
      </c>
      <c r="K10" s="3">
        <f t="shared" si="4"/>
        <v>1356</v>
      </c>
      <c r="L10" s="8"/>
      <c r="M10" s="8"/>
    </row>
    <row r="11" spans="1:13" x14ac:dyDescent="0.25">
      <c r="F11" s="9" t="s">
        <v>32</v>
      </c>
      <c r="G11" s="9"/>
    </row>
    <row r="12" spans="1:13" x14ac:dyDescent="0.25">
      <c r="E12" t="b">
        <f>AND(LEN(B3)=5,COUNTIF($B$3:$B$10,$B$3)=1,ISNUMBER(VALUE(RIGHT(B3,3))))</f>
        <v>1</v>
      </c>
      <c r="F12" s="1" t="s">
        <v>30</v>
      </c>
      <c r="G12" s="1" t="s">
        <v>31</v>
      </c>
    </row>
    <row r="13" spans="1:13" x14ac:dyDescent="0.25">
      <c r="F13" s="1" t="s">
        <v>27</v>
      </c>
      <c r="G13" s="1">
        <f>VLOOKUP(F13,$B$3:$K$10,10,0)</f>
        <v>943.5</v>
      </c>
    </row>
  </sheetData>
  <mergeCells count="4">
    <mergeCell ref="A1:M1"/>
    <mergeCell ref="L3:L10"/>
    <mergeCell ref="M3:M10"/>
    <mergeCell ref="F11:G11"/>
  </mergeCells>
  <phoneticPr fontId="1" type="noConversion"/>
  <dataValidations count="3">
    <dataValidation type="custom" allowBlank="1" showInputMessage="1" showErrorMessage="1" sqref="B3:B10" xr:uid="{C6159438-AD99-4826-B06B-A3C1414D21DC}">
      <formula1>AND(LEN(B3)=5,COUNTIF($B$3:$B$10,$B$3)=1,ISNUMBER(VALUE(RIGHT(B3,3))))</formula1>
    </dataValidation>
    <dataValidation type="date" allowBlank="1" showInputMessage="1" showErrorMessage="1" sqref="D3:D10" xr:uid="{522A0524-C7ED-47CF-A8F6-28E51936C980}">
      <formula1>44927</formula1>
      <formula2>44934</formula2>
    </dataValidation>
    <dataValidation type="list" allowBlank="1" showInputMessage="1" showErrorMessage="1" sqref="F13" xr:uid="{FD3C01C5-E89F-4D54-AB6C-23A5AF677D8A}">
      <formula1>$B$3:$B$10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IIST</dc:creator>
  <cp:lastModifiedBy>IIST</cp:lastModifiedBy>
  <dcterms:created xsi:type="dcterms:W3CDTF">2015-06-05T18:17:20Z</dcterms:created>
  <dcterms:modified xsi:type="dcterms:W3CDTF">2026-04-28T07:56:35Z</dcterms:modified>
</cp:coreProperties>
</file>