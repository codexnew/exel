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IST\Desktop\Abu Hasan\"/>
    </mc:Choice>
  </mc:AlternateContent>
  <xr:revisionPtr revIDLastSave="0" documentId="13_ncr:1_{0A1F52F3-6209-4B8E-9248-82D1A40D90FA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monthly SalarySheet" sheetId="1" r:id="rId1"/>
    <sheet name="filter" sheetId="7" r:id="rId2"/>
    <sheet name="Sheet1 (4)" sheetId="4" r:id="rId3"/>
    <sheet name="Sheet1 (3)" sheetId="3" r:id="rId4"/>
    <sheet name="Sheet1 (2)" sheetId="2" r:id="rId5"/>
    <sheet name="Monthly Budget Tracker " sheetId="5" r:id="rId6"/>
    <sheet name="Sheet1" sheetId="6" r:id="rId7"/>
  </sheets>
  <definedNames>
    <definedName name="_xlnm._FilterDatabase" localSheetId="1" hidden="1">filter!$A$4:$K$4</definedName>
    <definedName name="_xlnm._FilterDatabase" localSheetId="4" hidden="1">'Sheet1 (2)'!$A$4:$K$4</definedName>
    <definedName name="_xlnm._FilterDatabase" localSheetId="3" hidden="1">'Sheet1 (3)'!$A$4:$K$4</definedName>
    <definedName name="_xlnm._FilterDatabase" localSheetId="2" hidden="1">'Sheet1 (4)'!$A$4:$K$4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7" l="1"/>
  <c r="C17" i="7"/>
  <c r="C16" i="7"/>
  <c r="B16" i="7"/>
  <c r="C15" i="7"/>
  <c r="C14" i="7"/>
  <c r="C13" i="7"/>
  <c r="B13" i="7"/>
  <c r="C12" i="7"/>
  <c r="B12" i="7"/>
  <c r="I5" i="7"/>
  <c r="H5" i="7"/>
  <c r="J5" i="7" s="1"/>
  <c r="F5" i="7"/>
  <c r="I9" i="7"/>
  <c r="F9" i="7"/>
  <c r="H9" i="7" s="1"/>
  <c r="J8" i="7"/>
  <c r="I8" i="7"/>
  <c r="H8" i="7"/>
  <c r="F8" i="7"/>
  <c r="I7" i="7"/>
  <c r="F7" i="7"/>
  <c r="M5" i="7"/>
  <c r="I6" i="7"/>
  <c r="F6" i="7"/>
  <c r="H6" i="7" s="1"/>
  <c r="F20" i="6"/>
  <c r="F19" i="6"/>
  <c r="F18" i="6"/>
  <c r="E25" i="6"/>
  <c r="B14" i="7" l="1"/>
  <c r="H16" i="7" s="1"/>
  <c r="K8" i="7"/>
  <c r="J9" i="7"/>
  <c r="K9" i="7" s="1"/>
  <c r="K5" i="7"/>
  <c r="J6" i="7"/>
  <c r="K6" i="7" s="1"/>
  <c r="H7" i="7"/>
  <c r="B17" i="7" s="1"/>
  <c r="B15" i="7"/>
  <c r="F17" i="6"/>
  <c r="F8" i="6"/>
  <c r="F9" i="6"/>
  <c r="F10" i="6"/>
  <c r="F11" i="6"/>
  <c r="F12" i="6"/>
  <c r="F13" i="6"/>
  <c r="F7" i="6"/>
  <c r="I13" i="6"/>
  <c r="F4" i="6"/>
  <c r="E22" i="5"/>
  <c r="E23" i="5"/>
  <c r="E24" i="5"/>
  <c r="E25" i="5"/>
  <c r="E26" i="5"/>
  <c r="E27" i="5"/>
  <c r="C23" i="5"/>
  <c r="E6" i="5"/>
  <c r="H6" i="5"/>
  <c r="G6" i="5"/>
  <c r="F6" i="5" s="1"/>
  <c r="G7" i="5"/>
  <c r="G8" i="5"/>
  <c r="O8" i="5" s="1"/>
  <c r="G9" i="5"/>
  <c r="O9" i="5" s="1"/>
  <c r="G10" i="5"/>
  <c r="O10" i="5" s="1"/>
  <c r="G11" i="5"/>
  <c r="N11" i="5" s="1"/>
  <c r="G12" i="5"/>
  <c r="O12" i="5" s="1"/>
  <c r="G13" i="5"/>
  <c r="N13" i="5" s="1"/>
  <c r="G14" i="5"/>
  <c r="O14" i="5" s="1"/>
  <c r="M5" i="1"/>
  <c r="C18" i="4"/>
  <c r="C17" i="4"/>
  <c r="C16" i="4"/>
  <c r="B16" i="4"/>
  <c r="C15" i="4"/>
  <c r="C14" i="4"/>
  <c r="C13" i="4"/>
  <c r="B13" i="4"/>
  <c r="C12" i="4"/>
  <c r="B12" i="4"/>
  <c r="I9" i="4"/>
  <c r="H9" i="4"/>
  <c r="J9" i="4" s="1"/>
  <c r="F9" i="4"/>
  <c r="I8" i="4"/>
  <c r="B14" i="4" s="1"/>
  <c r="H16" i="4" s="1"/>
  <c r="H8" i="4"/>
  <c r="F8" i="4"/>
  <c r="J7" i="4"/>
  <c r="I7" i="4"/>
  <c r="H7" i="4"/>
  <c r="F7" i="4"/>
  <c r="K7" i="4" s="1"/>
  <c r="I6" i="4"/>
  <c r="F6" i="4"/>
  <c r="H6" i="4" s="1"/>
  <c r="J6" i="4" s="1"/>
  <c r="I5" i="4"/>
  <c r="H5" i="4"/>
  <c r="J5" i="4" s="1"/>
  <c r="F5" i="4"/>
  <c r="C18" i="3"/>
  <c r="C17" i="3"/>
  <c r="C16" i="3"/>
  <c r="B16" i="3"/>
  <c r="C15" i="3"/>
  <c r="C14" i="3"/>
  <c r="C13" i="3"/>
  <c r="B13" i="3"/>
  <c r="C12" i="3"/>
  <c r="B12" i="3"/>
  <c r="I9" i="3"/>
  <c r="F9" i="3"/>
  <c r="H9" i="3" s="1"/>
  <c r="J9" i="3" s="1"/>
  <c r="I8" i="3"/>
  <c r="F8" i="3"/>
  <c r="I7" i="3"/>
  <c r="F7" i="3"/>
  <c r="H7" i="3" s="1"/>
  <c r="I6" i="3"/>
  <c r="F6" i="3"/>
  <c r="I5" i="3"/>
  <c r="H5" i="3"/>
  <c r="J5" i="3" s="1"/>
  <c r="F5" i="3"/>
  <c r="C18" i="2"/>
  <c r="C17" i="2"/>
  <c r="C16" i="2"/>
  <c r="B16" i="2"/>
  <c r="C15" i="2"/>
  <c r="C14" i="2"/>
  <c r="C13" i="2"/>
  <c r="B13" i="2"/>
  <c r="C12" i="2"/>
  <c r="B12" i="2"/>
  <c r="I9" i="2"/>
  <c r="F9" i="2"/>
  <c r="I8" i="2"/>
  <c r="F8" i="2"/>
  <c r="H8" i="2" s="1"/>
  <c r="J8" i="2" s="1"/>
  <c r="I7" i="2"/>
  <c r="F7" i="2"/>
  <c r="H7" i="2" s="1"/>
  <c r="I6" i="2"/>
  <c r="J6" i="2" s="1"/>
  <c r="H6" i="2"/>
  <c r="F6" i="2"/>
  <c r="K6" i="2" s="1"/>
  <c r="I5" i="2"/>
  <c r="F5" i="2"/>
  <c r="C12" i="1"/>
  <c r="C13" i="1"/>
  <c r="C14" i="1"/>
  <c r="C15" i="1"/>
  <c r="C16" i="1"/>
  <c r="C17" i="1"/>
  <c r="C18" i="1"/>
  <c r="B16" i="1"/>
  <c r="B13" i="1"/>
  <c r="B12" i="1"/>
  <c r="I6" i="1"/>
  <c r="I7" i="1"/>
  <c r="I8" i="1"/>
  <c r="I9" i="1"/>
  <c r="I5" i="1"/>
  <c r="F6" i="1"/>
  <c r="H6" i="1" s="1"/>
  <c r="F7" i="1"/>
  <c r="F8" i="1"/>
  <c r="F9" i="1"/>
  <c r="F5" i="1"/>
  <c r="J7" i="7" l="1"/>
  <c r="K7" i="7" s="1"/>
  <c r="H8" i="3"/>
  <c r="J8" i="3" s="1"/>
  <c r="K8" i="3" s="1"/>
  <c r="J7" i="3"/>
  <c r="K7" i="3" s="1"/>
  <c r="C17" i="5"/>
  <c r="N12" i="5"/>
  <c r="N9" i="5"/>
  <c r="O13" i="5"/>
  <c r="N8" i="5"/>
  <c r="O6" i="5"/>
  <c r="O11" i="5"/>
  <c r="O7" i="5"/>
  <c r="N7" i="5"/>
  <c r="N14" i="5"/>
  <c r="N10" i="5"/>
  <c r="N6" i="5"/>
  <c r="C16" i="5"/>
  <c r="E7" i="5" s="1"/>
  <c r="K5" i="4"/>
  <c r="K9" i="4"/>
  <c r="K6" i="4"/>
  <c r="B17" i="4"/>
  <c r="J8" i="4"/>
  <c r="B18" i="4" s="1"/>
  <c r="J16" i="4" s="1"/>
  <c r="B15" i="4"/>
  <c r="K5" i="3"/>
  <c r="K9" i="3"/>
  <c r="B14" i="3"/>
  <c r="H16" i="3" s="1"/>
  <c r="H6" i="3"/>
  <c r="J6" i="3" s="1"/>
  <c r="B15" i="3"/>
  <c r="J7" i="2"/>
  <c r="K7" i="2" s="1"/>
  <c r="H5" i="2"/>
  <c r="H9" i="2"/>
  <c r="J9" i="2" s="1"/>
  <c r="K9" i="2" s="1"/>
  <c r="B14" i="2"/>
  <c r="H16" i="2" s="1"/>
  <c r="K8" i="2"/>
  <c r="B15" i="2"/>
  <c r="B14" i="1"/>
  <c r="H16" i="1" s="1"/>
  <c r="J6" i="1"/>
  <c r="K6" i="1" s="1"/>
  <c r="B15" i="1"/>
  <c r="H5" i="1"/>
  <c r="H7" i="1"/>
  <c r="J7" i="1" s="1"/>
  <c r="K7" i="1" s="1"/>
  <c r="H9" i="1"/>
  <c r="J9" i="1" s="1"/>
  <c r="K9" i="1" s="1"/>
  <c r="H8" i="1"/>
  <c r="J8" i="1" s="1"/>
  <c r="K8" i="1" s="1"/>
  <c r="J5" i="1"/>
  <c r="K5" i="1" s="1"/>
  <c r="B18" i="7" l="1"/>
  <c r="J16" i="7" s="1"/>
  <c r="B18" i="3"/>
  <c r="J16" i="3" s="1"/>
  <c r="B17" i="3"/>
  <c r="F9" i="5"/>
  <c r="F10" i="5"/>
  <c r="F7" i="5"/>
  <c r="F14" i="5"/>
  <c r="F8" i="5"/>
  <c r="F12" i="5"/>
  <c r="F11" i="5"/>
  <c r="F13" i="5"/>
  <c r="C18" i="5"/>
  <c r="E8" i="5"/>
  <c r="E11" i="5"/>
  <c r="E9" i="5"/>
  <c r="E10" i="5"/>
  <c r="E12" i="5"/>
  <c r="E13" i="5"/>
  <c r="E14" i="5"/>
  <c r="K8" i="4"/>
  <c r="K6" i="3"/>
  <c r="B17" i="2"/>
  <c r="J5" i="2"/>
  <c r="B18" i="1"/>
  <c r="J16" i="1" s="1"/>
  <c r="B17" i="1"/>
  <c r="B18" i="2" l="1"/>
  <c r="J16" i="2" s="1"/>
  <c r="K5" i="2"/>
</calcChain>
</file>

<file path=xl/sharedStrings.xml><?xml version="1.0" encoding="utf-8"?>
<sst xmlns="http://schemas.openxmlformats.org/spreadsheetml/2006/main" count="348" uniqueCount="115">
  <si>
    <t>Monthly Salary Sheet</t>
  </si>
  <si>
    <t>salary for the month of January,20252</t>
  </si>
  <si>
    <t>Employee
ID</t>
  </si>
  <si>
    <t xml:space="preserve">Employee
Name </t>
  </si>
  <si>
    <t>Basic 
Salary</t>
  </si>
  <si>
    <t>Allowances</t>
  </si>
  <si>
    <t>Tax Rate 
(%)</t>
  </si>
  <si>
    <t xml:space="preserve">Loan
Deducation </t>
  </si>
  <si>
    <t>Total 
Deducation</t>
  </si>
  <si>
    <t>Gross 
Salary</t>
  </si>
  <si>
    <t>Net
Salary</t>
  </si>
  <si>
    <t>Budget
 Range</t>
  </si>
  <si>
    <t>Category
Names</t>
  </si>
  <si>
    <t>Total 
Amount</t>
  </si>
  <si>
    <t>Types</t>
  </si>
  <si>
    <t>Vloookup</t>
  </si>
  <si>
    <t>Category</t>
  </si>
  <si>
    <t xml:space="preserve">Total Amount </t>
  </si>
  <si>
    <t>E001</t>
  </si>
  <si>
    <t>E002</t>
  </si>
  <si>
    <t>E003</t>
  </si>
  <si>
    <t>E004</t>
  </si>
  <si>
    <t>E005</t>
  </si>
  <si>
    <t xml:space="preserve"> Rakib</t>
  </si>
  <si>
    <t>Persha</t>
  </si>
  <si>
    <t>Roman</t>
  </si>
  <si>
    <t>Nishat</t>
  </si>
  <si>
    <t>Sahir</t>
  </si>
  <si>
    <t>Tax
Amount</t>
  </si>
  <si>
    <t>Basic Salary</t>
  </si>
  <si>
    <t>Basic salary</t>
  </si>
  <si>
    <t>Allowance</t>
  </si>
  <si>
    <t>Gross Salary</t>
  </si>
  <si>
    <t>Tax Deduct</t>
  </si>
  <si>
    <t>Total Deduct</t>
  </si>
  <si>
    <t>Net Salary</t>
  </si>
  <si>
    <t>Tax deduct</t>
  </si>
  <si>
    <t>Loan Deduct</t>
  </si>
  <si>
    <t>MONTLY BUDGET TRACKER
MONTH: JUNE 2024</t>
  </si>
  <si>
    <t>SAMPLE A:  MONTLY BUDGET TRACKER</t>
  </si>
  <si>
    <t>DATE</t>
  </si>
  <si>
    <t>CATEGORY</t>
  </si>
  <si>
    <t>DESCRIPTION</t>
  </si>
  <si>
    <t>AMOUNT</t>
  </si>
  <si>
    <t>BUDGET
RANGE</t>
  </si>
  <si>
    <t>RANK</t>
  </si>
  <si>
    <t>TYPE</t>
  </si>
  <si>
    <t>INCOME</t>
  </si>
  <si>
    <t>HOUSING</t>
  </si>
  <si>
    <t>UTILITIES</t>
  </si>
  <si>
    <t>FOOD</t>
  </si>
  <si>
    <t>TRANSPORT</t>
  </si>
  <si>
    <t>ENTERTAINMENT</t>
  </si>
  <si>
    <t>SALARY</t>
  </si>
  <si>
    <t>RENT</t>
  </si>
  <si>
    <t>ELECTRICITY BILL</t>
  </si>
  <si>
    <t>IN</t>
  </si>
  <si>
    <t>OFF</t>
  </si>
  <si>
    <t>MOVIE</t>
  </si>
  <si>
    <t>TOTAL MONTHLY EXPENSES</t>
  </si>
  <si>
    <t>TOTALMONTHLY INCOME</t>
  </si>
  <si>
    <t xml:space="preserve">NET BALANCE </t>
  </si>
  <si>
    <t>GRCERIES(V)</t>
  </si>
  <si>
    <t>GRCERIES( F)</t>
  </si>
  <si>
    <t>HELPER TABLE</t>
  </si>
  <si>
    <t>=IF(g6="EXPENSE",d6,"-")</t>
  </si>
  <si>
    <t>=IF(B6="INCOME","INCOME","EXPENSE")</t>
  </si>
  <si>
    <t>`=IF(G6="INCOME","-",RANK(O6,$O$6:$O$14,0))</t>
  </si>
  <si>
    <t>VLOOKUP TABILE</t>
  </si>
  <si>
    <r>
      <rPr>
        <sz val="34"/>
        <color theme="1"/>
        <rFont val="Times New Roman"/>
        <family val="1"/>
      </rPr>
      <t>Company Name</t>
    </r>
    <r>
      <rPr>
        <sz val="11"/>
        <color theme="1"/>
        <rFont val="Times New Roman"/>
        <family val="1"/>
      </rPr>
      <t xml:space="preserve"> 
</t>
    </r>
    <r>
      <rPr>
        <sz val="14"/>
        <color theme="1"/>
        <rFont val="Arial"/>
        <family val="2"/>
      </rPr>
      <t>Shops 5012,5th floor
IDB Bhaban, Agargoan, Dhaka-1207
website: www.kjbofjd</t>
    </r>
  </si>
  <si>
    <t xml:space="preserve">All Kunds of Computer Products Sales and Sarvice </t>
  </si>
  <si>
    <t>Cash Mamo</t>
  </si>
  <si>
    <t>Customer Name</t>
  </si>
  <si>
    <t>Address:</t>
  </si>
  <si>
    <t>Sl
No</t>
  </si>
  <si>
    <t>Product ID</t>
  </si>
  <si>
    <t xml:space="preserve">Item Name </t>
  </si>
  <si>
    <t>Quantity</t>
  </si>
  <si>
    <t>Rate</t>
  </si>
  <si>
    <t>Amount</t>
  </si>
  <si>
    <t>Date</t>
  </si>
  <si>
    <t>Mobile No: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</si>
  <si>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</si>
  <si>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</si>
  <si>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</si>
  <si>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</si>
  <si>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</si>
  <si>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</si>
  <si>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</si>
  <si>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</si>
  <si>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</si>
  <si>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</si>
  <si>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Com102</t>
  </si>
  <si>
    <t>Com103</t>
  </si>
  <si>
    <t>Com105</t>
  </si>
  <si>
    <t>Com106</t>
  </si>
  <si>
    <t>Com107</t>
  </si>
  <si>
    <t>Com108</t>
  </si>
  <si>
    <t>Com109</t>
  </si>
  <si>
    <t>01975799998</t>
  </si>
  <si>
    <t>Com101</t>
  </si>
  <si>
    <t>Laptop</t>
  </si>
  <si>
    <t>Monitor</t>
  </si>
  <si>
    <t>Mouse</t>
  </si>
  <si>
    <t>Keyborad</t>
  </si>
  <si>
    <t>SSD</t>
  </si>
  <si>
    <t>RAM</t>
  </si>
  <si>
    <t>Casing</t>
  </si>
  <si>
    <t>Grand Total</t>
  </si>
  <si>
    <t>Discount</t>
  </si>
  <si>
    <t>Vat</t>
  </si>
  <si>
    <t>Payable Amount</t>
  </si>
  <si>
    <t>PAID</t>
  </si>
  <si>
    <t>sample-2</t>
  </si>
  <si>
    <t xml:space="preserve">cash Momo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</si>
</sst>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#\ &quot;Pcs&quot;"/>
    <numFmt numFmtId="166" formatCode="#,##0.00[$৳-845];\-#,##0.00[$৳-845]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Arial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34"/>
      <color theme="1"/>
      <name val="Times New Roman"/>
      <family val="1"/>
    </font>
    <font>
      <sz val="14"/>
      <color theme="1"/>
      <name val="Arial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0" fontId="5" fillId="0" borderId="1" xfId="0" quotePrefix="1" applyFont="1" applyBorder="1"/>
    <xf numFmtId="0" fontId="5" fillId="0" borderId="0" xfId="0" quotePrefix="1" applyFont="1"/>
    <xf numFmtId="0" fontId="5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49" fontId="0" fillId="0" borderId="1" xfId="0" applyNumberFormat="1" applyBorder="1"/>
    <xf numFmtId="22" fontId="0" fillId="0" borderId="1" xfId="0" applyNumberFormat="1" applyBorder="1"/>
    <xf numFmtId="165" fontId="0" fillId="0" borderId="1" xfId="0" applyNumberFormat="1" applyBorder="1"/>
    <xf numFmtId="4" fontId="0" fillId="0" borderId="1" xfId="1" applyNumberFormat="1" applyFont="1" applyBorder="1"/>
    <xf numFmtId="4" fontId="0" fillId="0" borderId="1" xfId="0" applyNumberFormat="1" applyBorder="1"/>
    <xf numFmtId="166" fontId="0" fillId="0" borderId="1" xfId="1" applyNumberFormat="1" applyFont="1" applyBorder="1"/>
    <xf numFmtId="166" fontId="0" fillId="0" borderId="1" xfId="0" applyNumberFormat="1" applyBorder="1"/>
    <xf numFmtId="0" fontId="0" fillId="4" borderId="1" xfId="0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49" fontId="14" fillId="0" borderId="7" xfId="0" applyNumberFormat="1" applyFont="1" applyBorder="1" applyAlignment="1">
      <alignment horizontal="center" vertical="center" textRotation="45"/>
    </xf>
    <xf numFmtId="49" fontId="14" fillId="0" borderId="8" xfId="0" applyNumberFormat="1" applyFont="1" applyBorder="1" applyAlignment="1">
      <alignment horizontal="center" vertical="center" textRotation="45"/>
    </xf>
    <xf numFmtId="49" fontId="14" fillId="0" borderId="9" xfId="0" applyNumberFormat="1" applyFont="1" applyBorder="1" applyAlignment="1">
      <alignment horizontal="center" vertical="center" textRotation="45"/>
    </xf>
    <xf numFmtId="49" fontId="14" fillId="0" borderId="2" xfId="0" applyNumberFormat="1" applyFont="1" applyBorder="1" applyAlignment="1">
      <alignment horizontal="center" vertical="center" textRotation="45"/>
    </xf>
    <xf numFmtId="49" fontId="14" fillId="0" borderId="0" xfId="0" applyNumberFormat="1" applyFont="1" applyAlignment="1">
      <alignment horizontal="center" vertical="center" textRotation="45"/>
    </xf>
    <xf numFmtId="49" fontId="14" fillId="0" borderId="3" xfId="0" applyNumberFormat="1" applyFont="1" applyBorder="1" applyAlignment="1">
      <alignment horizontal="center" vertical="center" textRotation="45"/>
    </xf>
    <xf numFmtId="49" fontId="14" fillId="0" borderId="10" xfId="0" applyNumberFormat="1" applyFont="1" applyBorder="1" applyAlignment="1">
      <alignment horizontal="center" vertical="center" textRotation="45"/>
    </xf>
    <xf numFmtId="49" fontId="14" fillId="0" borderId="11" xfId="0" applyNumberFormat="1" applyFont="1" applyBorder="1" applyAlignment="1">
      <alignment horizontal="center" vertical="center" textRotation="45"/>
    </xf>
    <xf numFmtId="49" fontId="14" fillId="0" borderId="12" xfId="0" applyNumberFormat="1" applyFont="1" applyBorder="1" applyAlignment="1">
      <alignment horizontal="center" vertical="center" textRotation="45"/>
    </xf>
    <xf numFmtId="0" fontId="8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11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Comma" xfId="1" builtinId="3"/>
    <cellStyle name="Normal" xfId="0" builtinId="0"/>
  </cellStyles>
  <dxfs count="21"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'monthly SalarySheet'!$A$17:$A$18</c:f>
              <c:strCache>
                <c:ptCount val="2"/>
                <c:pt idx="0">
                  <c:v>Total Deduct</c:v>
                </c:pt>
                <c:pt idx="1">
                  <c:v>Net Salary</c:v>
                </c:pt>
              </c:strCache>
            </c:strRef>
          </c:cat>
          <c:val>
            <c:numRef>
              <c:f>'monthly SalarySheet'!$B$17:$B$18</c:f>
              <c:numCache>
                <c:formatCode>General</c:formatCode>
                <c:ptCount val="2"/>
                <c:pt idx="0">
                  <c:v>6050</c:v>
                </c:pt>
                <c:pt idx="1">
                  <c:v>25150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4-41E9-A1B1-A31C648F9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39620472"/>
        <c:axId val="439615072"/>
      </c:barChart>
      <c:catAx>
        <c:axId val="439620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15072"/>
        <c:crosses val="autoZero"/>
        <c:auto val="1"/>
        <c:lblAlgn val="ctr"/>
        <c:lblOffset val="100"/>
        <c:noMultiLvlLbl val="0"/>
      </c:catAx>
      <c:valAx>
        <c:axId val="43961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20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filter!$A$17:$A$18</c:f>
              <c:strCache>
                <c:ptCount val="2"/>
                <c:pt idx="0">
                  <c:v>Total Deduct</c:v>
                </c:pt>
                <c:pt idx="1">
                  <c:v>Net Salary</c:v>
                </c:pt>
              </c:strCache>
            </c:strRef>
          </c:cat>
          <c:val>
            <c:numRef>
              <c:f>filter!$B$17:$B$18</c:f>
              <c:numCache>
                <c:formatCode>General</c:formatCode>
                <c:ptCount val="2"/>
                <c:pt idx="0">
                  <c:v>6050</c:v>
                </c:pt>
                <c:pt idx="1">
                  <c:v>25150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E-4486-8872-19FCFAC7F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39620472"/>
        <c:axId val="439615072"/>
      </c:barChart>
      <c:catAx>
        <c:axId val="439620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15072"/>
        <c:crosses val="autoZero"/>
        <c:auto val="1"/>
        <c:lblAlgn val="ctr"/>
        <c:lblOffset val="100"/>
        <c:noMultiLvlLbl val="0"/>
      </c:catAx>
      <c:valAx>
        <c:axId val="43961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20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'Sheet1 (4)'!$A$17:$A$18</c:f>
              <c:strCache>
                <c:ptCount val="2"/>
                <c:pt idx="0">
                  <c:v>Total Deduct</c:v>
                </c:pt>
                <c:pt idx="1">
                  <c:v>Net Salary</c:v>
                </c:pt>
              </c:strCache>
            </c:strRef>
          </c:cat>
          <c:val>
            <c:numRef>
              <c:f>'Sheet1 (4)'!$B$17:$B$18</c:f>
              <c:numCache>
                <c:formatCode>General</c:formatCode>
                <c:ptCount val="2"/>
                <c:pt idx="0">
                  <c:v>6050</c:v>
                </c:pt>
                <c:pt idx="1">
                  <c:v>25150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B-49D4-A354-B7B013D0B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39620472"/>
        <c:axId val="439615072"/>
      </c:barChart>
      <c:catAx>
        <c:axId val="439620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15072"/>
        <c:crosses val="autoZero"/>
        <c:auto val="1"/>
        <c:lblAlgn val="ctr"/>
        <c:lblOffset val="100"/>
        <c:noMultiLvlLbl val="0"/>
      </c:catAx>
      <c:valAx>
        <c:axId val="43961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20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'Sheet1 (3)'!$A$17:$A$18</c:f>
              <c:strCache>
                <c:ptCount val="2"/>
                <c:pt idx="0">
                  <c:v>Total Deduct</c:v>
                </c:pt>
                <c:pt idx="1">
                  <c:v>Net Salary</c:v>
                </c:pt>
              </c:strCache>
            </c:strRef>
          </c:cat>
          <c:val>
            <c:numRef>
              <c:f>'Sheet1 (3)'!$B$17:$B$18</c:f>
              <c:numCache>
                <c:formatCode>General</c:formatCode>
                <c:ptCount val="2"/>
                <c:pt idx="0">
                  <c:v>6050</c:v>
                </c:pt>
                <c:pt idx="1">
                  <c:v>25150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8-4767-AF73-F3B3B3258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39620472"/>
        <c:axId val="439615072"/>
      </c:barChart>
      <c:catAx>
        <c:axId val="439620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15072"/>
        <c:crosses val="autoZero"/>
        <c:auto val="1"/>
        <c:lblAlgn val="ctr"/>
        <c:lblOffset val="100"/>
        <c:noMultiLvlLbl val="0"/>
      </c:catAx>
      <c:valAx>
        <c:axId val="43961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20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'Sheet1 (2)'!$A$17:$A$18</c:f>
              <c:strCache>
                <c:ptCount val="2"/>
                <c:pt idx="0">
                  <c:v>Total Deduct</c:v>
                </c:pt>
                <c:pt idx="1">
                  <c:v>Net Salary</c:v>
                </c:pt>
              </c:strCache>
            </c:strRef>
          </c:cat>
          <c:val>
            <c:numRef>
              <c:f>'Sheet1 (2)'!$B$17:$B$18</c:f>
              <c:numCache>
                <c:formatCode>General</c:formatCode>
                <c:ptCount val="2"/>
                <c:pt idx="0">
                  <c:v>6050</c:v>
                </c:pt>
                <c:pt idx="1">
                  <c:v>25150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3-465E-8BC1-39209E5E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39620472"/>
        <c:axId val="439615072"/>
      </c:barChart>
      <c:catAx>
        <c:axId val="439620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15072"/>
        <c:crosses val="autoZero"/>
        <c:auto val="1"/>
        <c:lblAlgn val="ctr"/>
        <c:lblOffset val="100"/>
        <c:noMultiLvlLbl val="0"/>
      </c:catAx>
      <c:valAx>
        <c:axId val="43961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20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153567</xdr:colOff>
      <xdr:row>16</xdr:row>
      <xdr:rowOff>145791</xdr:rowOff>
    </xdr:from>
    <xdr:to>
      <xdr:col>10</xdr:col>
      <xdr:colOff>594827</xdr:colOff>
      <xdr:row>26</xdr:row>
      <xdr:rowOff>146958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784DA-B44B-65F4-1575-868C46CF5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153567</xdr:colOff>
      <xdr:row>16</xdr:row>
      <xdr:rowOff>145791</xdr:rowOff>
    </xdr:from>
    <xdr:to>
      <xdr:col>10</xdr:col>
      <xdr:colOff>594827</xdr:colOff>
      <xdr:row>26</xdr:row>
      <xdr:rowOff>146958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409D2-92AF-40F9-8F1D-BBF8242F8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153567</xdr:colOff>
      <xdr:row>16</xdr:row>
      <xdr:rowOff>145791</xdr:rowOff>
    </xdr:from>
    <xdr:to>
      <xdr:col>10</xdr:col>
      <xdr:colOff>594827</xdr:colOff>
      <xdr:row>26</xdr:row>
      <xdr:rowOff>146958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B0EE5-F80E-4C65-A1C4-BCFCCA6E0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153567</xdr:colOff>
      <xdr:row>16</xdr:row>
      <xdr:rowOff>145791</xdr:rowOff>
    </xdr:from>
    <xdr:to>
      <xdr:col>10</xdr:col>
      <xdr:colOff>594827</xdr:colOff>
      <xdr:row>26</xdr:row>
      <xdr:rowOff>146958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5DFB2-06A5-4F1E-A9E9-B6E08C7D0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153567</xdr:colOff>
      <xdr:row>16</xdr:row>
      <xdr:rowOff>145791</xdr:rowOff>
    </xdr:from>
    <xdr:to>
      <xdr:col>10</xdr:col>
      <xdr:colOff>594827</xdr:colOff>
      <xdr:row>26</xdr:row>
      <xdr:rowOff>146958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14442-F504-4EC6-BFFA-BAD6165FD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361950</xdr:rowOff>
    </xdr:from>
    <xdr:to>
      <xdr:col>1</xdr:col>
      <xdr:colOff>466344</xdr:colOff>
      <xdr:row>0</xdr:row>
      <xdr:rowOff>1020318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FAB34B-D336-4876-A896-62901A4F13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361950"/>
          <a:ext cx="466344" cy="658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topLeftCell="A4" zoomScaleNormal="100" workbookViewId="0">
      <selection activeCell="G11" sqref="G11"/>
    </sheetView>
  </sheetViews>
  <sheetFormatPr defaultRowHeight="15" x14ac:dyDescent="0.25"/>
  <cols>
    <col min="1" max="1" width="11" customWidth="1"/>
    <col min="2" max="2" width="10.140625" customWidth="1"/>
    <col min="4" max="4" width="11.140625" customWidth="1"/>
    <col min="7" max="7" width="12.42578125" customWidth="1"/>
    <col min="8" max="8" width="12.85546875" customWidth="1"/>
    <col min="11" max="11" width="14.28515625" customWidth="1"/>
    <col min="14" max="14" width="11.140625" customWidth="1"/>
  </cols>
  <sheetData>
    <row r="1" spans="1:16" ht="18.7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6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6" ht="7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ht="25.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28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1"/>
    </row>
    <row r="5" spans="1:16" x14ac:dyDescent="0.25">
      <c r="A5" s="3" t="s">
        <v>18</v>
      </c>
      <c r="B5" s="3" t="s">
        <v>23</v>
      </c>
      <c r="C5" s="3">
        <v>6000</v>
      </c>
      <c r="D5" s="3">
        <v>1000</v>
      </c>
      <c r="E5" s="3">
        <v>10</v>
      </c>
      <c r="F5" s="3">
        <f>C5*E5%</f>
        <v>600</v>
      </c>
      <c r="G5" s="3">
        <v>400</v>
      </c>
      <c r="H5" s="3">
        <f>F5+G5</f>
        <v>1000</v>
      </c>
      <c r="I5" s="3">
        <f>C5+D5</f>
        <v>7000</v>
      </c>
      <c r="J5" s="3">
        <f>I5-H5</f>
        <v>6000</v>
      </c>
      <c r="K5" s="3" t="str">
        <f>IF(F5&gt;J5*10%,"over Deduct",IF(F5&lt;=J5*10%,"In Rang Deduct"))</f>
        <v>In Rang Deduct</v>
      </c>
      <c r="L5" s="1"/>
      <c r="M5" t="b">
        <f>OR(N14="Basic Salary",N14="Allowance",N14="Gross Salary",N14="Tax Deduct",N14="Loan Deduct",N14="Total Deduct",N14="Net Salary",)</f>
        <v>1</v>
      </c>
    </row>
    <row r="6" spans="1:16" x14ac:dyDescent="0.25">
      <c r="A6" s="3" t="s">
        <v>19</v>
      </c>
      <c r="B6" s="3" t="s">
        <v>24</v>
      </c>
      <c r="C6" s="3">
        <v>5000</v>
      </c>
      <c r="D6" s="3">
        <v>1200</v>
      </c>
      <c r="E6" s="3">
        <v>15</v>
      </c>
      <c r="F6" s="3">
        <f t="shared" ref="F6:F9" si="0">C6*E6%</f>
        <v>750</v>
      </c>
      <c r="G6" s="3">
        <v>500</v>
      </c>
      <c r="H6" s="3">
        <f t="shared" ref="H6:H9" si="1">F6+G6</f>
        <v>1250</v>
      </c>
      <c r="I6" s="3">
        <f t="shared" ref="I6:I9" si="2">C6+D6</f>
        <v>6200</v>
      </c>
      <c r="J6" s="3">
        <f t="shared" ref="J6:J9" si="3">I6-H6</f>
        <v>4950</v>
      </c>
      <c r="K6" s="3" t="str">
        <f t="shared" ref="K6:K9" si="4">IF(F6&gt;J6*10%,"over Deduct",IF(F6&lt;=J6*10%,"In Rang Deduct"))</f>
        <v>over Deduct</v>
      </c>
      <c r="L6" s="1"/>
    </row>
    <row r="7" spans="1:16" x14ac:dyDescent="0.25">
      <c r="A7" s="3" t="s">
        <v>20</v>
      </c>
      <c r="B7" s="3" t="s">
        <v>25</v>
      </c>
      <c r="C7" s="3">
        <v>4000</v>
      </c>
      <c r="D7" s="3">
        <v>1500</v>
      </c>
      <c r="E7" s="3">
        <v>20</v>
      </c>
      <c r="F7" s="3">
        <f t="shared" si="0"/>
        <v>800</v>
      </c>
      <c r="G7" s="3">
        <v>500</v>
      </c>
      <c r="H7" s="3">
        <f t="shared" si="1"/>
        <v>1300</v>
      </c>
      <c r="I7" s="3">
        <f t="shared" si="2"/>
        <v>5500</v>
      </c>
      <c r="J7" s="3">
        <f t="shared" si="3"/>
        <v>4200</v>
      </c>
      <c r="K7" s="3" t="str">
        <f t="shared" si="4"/>
        <v>over Deduct</v>
      </c>
      <c r="L7" s="1"/>
    </row>
    <row r="8" spans="1:16" x14ac:dyDescent="0.25">
      <c r="A8" s="3" t="s">
        <v>21</v>
      </c>
      <c r="B8" s="3" t="s">
        <v>26</v>
      </c>
      <c r="C8" s="3">
        <v>3000</v>
      </c>
      <c r="D8" s="3">
        <v>1000</v>
      </c>
      <c r="E8" s="3">
        <v>10</v>
      </c>
      <c r="F8" s="3">
        <f t="shared" si="0"/>
        <v>300</v>
      </c>
      <c r="G8" s="3">
        <v>500</v>
      </c>
      <c r="H8" s="3">
        <f t="shared" si="1"/>
        <v>800</v>
      </c>
      <c r="I8" s="3">
        <f t="shared" si="2"/>
        <v>4000</v>
      </c>
      <c r="J8" s="3">
        <f t="shared" si="3"/>
        <v>3200</v>
      </c>
      <c r="K8" s="3" t="str">
        <f t="shared" si="4"/>
        <v>In Rang Deduct</v>
      </c>
      <c r="L8" s="1"/>
    </row>
    <row r="9" spans="1:16" x14ac:dyDescent="0.25">
      <c r="A9" s="3" t="s">
        <v>22</v>
      </c>
      <c r="B9" s="3" t="s">
        <v>27</v>
      </c>
      <c r="C9" s="3">
        <v>8000</v>
      </c>
      <c r="D9" s="3">
        <v>500</v>
      </c>
      <c r="E9" s="3">
        <v>15</v>
      </c>
      <c r="F9" s="3">
        <f t="shared" si="0"/>
        <v>1200</v>
      </c>
      <c r="G9" s="3">
        <v>500</v>
      </c>
      <c r="H9" s="3">
        <f t="shared" si="1"/>
        <v>1700</v>
      </c>
      <c r="I9" s="3">
        <f t="shared" si="2"/>
        <v>8500</v>
      </c>
      <c r="J9" s="3">
        <f t="shared" si="3"/>
        <v>6800</v>
      </c>
      <c r="K9" s="3" t="str">
        <f t="shared" si="4"/>
        <v>over Deduct</v>
      </c>
      <c r="L9" s="1"/>
    </row>
    <row r="10" spans="1:16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6" ht="26.25" x14ac:dyDescent="0.25">
      <c r="A11" s="5" t="s">
        <v>12</v>
      </c>
      <c r="B11" s="5" t="s">
        <v>13</v>
      </c>
      <c r="C11" s="6" t="s">
        <v>14</v>
      </c>
      <c r="D11" s="1"/>
      <c r="E11" s="1"/>
      <c r="F11" s="1"/>
      <c r="G11" s="1"/>
      <c r="H11" s="1"/>
      <c r="I11" s="1"/>
      <c r="J11" s="1"/>
      <c r="K11" s="1"/>
      <c r="L11" s="1"/>
    </row>
    <row r="12" spans="1:16" x14ac:dyDescent="0.25">
      <c r="A12" s="6" t="s">
        <v>30</v>
      </c>
      <c r="B12" s="6">
        <f>SUM(C5:C9)</f>
        <v>26000</v>
      </c>
      <c r="C12" s="6" t="str">
        <f>IF(OR(A12="Basic Salary",A12="Net Salary",A12="Allowance"),"Income","Expense")</f>
        <v>Income</v>
      </c>
      <c r="D12" s="1" t="s">
        <v>29</v>
      </c>
      <c r="E12" s="1"/>
      <c r="F12" s="1"/>
      <c r="G12" s="1"/>
      <c r="H12" s="1"/>
      <c r="I12" s="1"/>
      <c r="J12" s="1"/>
      <c r="K12" s="1"/>
      <c r="L12" s="1"/>
    </row>
    <row r="13" spans="1:16" ht="26.25" x14ac:dyDescent="0.25">
      <c r="A13" s="6" t="s">
        <v>31</v>
      </c>
      <c r="B13" s="6">
        <f>SUM(D5:D9)</f>
        <v>5200</v>
      </c>
      <c r="C13" s="6" t="str">
        <f t="shared" ref="C13:C18" si="5">IF(OR(A13="Basic Salary",A13="Net Salary",A13="Allowance"),"Income","Expense")</f>
        <v>Income</v>
      </c>
      <c r="D13" s="1" t="s">
        <v>31</v>
      </c>
      <c r="E13" s="1"/>
      <c r="F13" s="1"/>
      <c r="G13" s="1"/>
      <c r="H13" s="1"/>
      <c r="I13" s="1"/>
      <c r="J13" s="1"/>
      <c r="K13" s="1"/>
      <c r="L13" s="1"/>
      <c r="N13" s="5" t="s">
        <v>12</v>
      </c>
      <c r="O13" s="5" t="s">
        <v>13</v>
      </c>
      <c r="P13" s="6" t="s">
        <v>14</v>
      </c>
    </row>
    <row r="14" spans="1:16" x14ac:dyDescent="0.25">
      <c r="A14" s="6" t="s">
        <v>32</v>
      </c>
      <c r="B14" s="6">
        <f>SUM(I5:I9)</f>
        <v>31200</v>
      </c>
      <c r="C14" s="6" t="str">
        <f t="shared" si="5"/>
        <v>Expense</v>
      </c>
      <c r="D14" s="1" t="s">
        <v>32</v>
      </c>
      <c r="E14" s="1"/>
      <c r="F14" s="1"/>
      <c r="G14" s="33" t="s">
        <v>15</v>
      </c>
      <c r="H14" s="33"/>
      <c r="I14" s="1"/>
      <c r="J14" s="1"/>
      <c r="K14" s="1"/>
      <c r="L14" s="1"/>
      <c r="N14" s="7" t="s">
        <v>29</v>
      </c>
      <c r="O14" s="7"/>
      <c r="P14" s="7"/>
    </row>
    <row r="15" spans="1:16" x14ac:dyDescent="0.25">
      <c r="A15" s="6" t="s">
        <v>33</v>
      </c>
      <c r="B15" s="6">
        <f>SUM(F5:F9)</f>
        <v>3650</v>
      </c>
      <c r="C15" s="6" t="str">
        <f t="shared" si="5"/>
        <v>Expense</v>
      </c>
      <c r="D15" s="1" t="s">
        <v>36</v>
      </c>
      <c r="E15" s="1"/>
      <c r="F15" s="1"/>
      <c r="G15" s="6" t="s">
        <v>16</v>
      </c>
      <c r="H15" s="6" t="s">
        <v>17</v>
      </c>
      <c r="I15" s="1"/>
      <c r="J15" s="1"/>
      <c r="K15" s="1"/>
      <c r="L15" s="1"/>
      <c r="N15" s="7" t="s">
        <v>31</v>
      </c>
      <c r="O15" s="7"/>
      <c r="P15" s="7"/>
    </row>
    <row r="16" spans="1:16" x14ac:dyDescent="0.25">
      <c r="A16" s="6" t="s">
        <v>37</v>
      </c>
      <c r="B16" s="6">
        <f>SUM(G5:G9)</f>
        <v>2400</v>
      </c>
      <c r="C16" s="6" t="str">
        <f t="shared" si="5"/>
        <v>Expense</v>
      </c>
      <c r="D16" s="1" t="s">
        <v>36</v>
      </c>
      <c r="E16" s="1"/>
      <c r="F16" s="1"/>
      <c r="G16" s="1" t="s">
        <v>32</v>
      </c>
      <c r="H16" s="1">
        <f>VLOOKUP(G16,A12:B18,2,0)</f>
        <v>31200</v>
      </c>
      <c r="I16" s="1" t="s">
        <v>35</v>
      </c>
      <c r="J16" s="1">
        <f>VLOOKUP(I16,A12:B18,2,0)</f>
        <v>25150</v>
      </c>
      <c r="K16" s="1"/>
      <c r="L16" s="1"/>
      <c r="N16" s="7" t="s">
        <v>32</v>
      </c>
      <c r="O16" s="7"/>
      <c r="P16" s="7"/>
    </row>
    <row r="17" spans="1:16" x14ac:dyDescent="0.25">
      <c r="A17" s="6" t="s">
        <v>34</v>
      </c>
      <c r="B17" s="6">
        <f>SUM(H5:H9)</f>
        <v>6050</v>
      </c>
      <c r="C17" s="6" t="str">
        <f t="shared" si="5"/>
        <v>Expense</v>
      </c>
      <c r="D17" s="1" t="s">
        <v>34</v>
      </c>
      <c r="E17" s="1"/>
      <c r="F17" s="1"/>
      <c r="G17" s="1"/>
      <c r="H17" s="1"/>
      <c r="I17" s="1"/>
      <c r="J17" s="1"/>
      <c r="K17" s="1"/>
      <c r="L17" s="1"/>
      <c r="N17" s="7" t="s">
        <v>33</v>
      </c>
      <c r="O17" s="7"/>
      <c r="P17" s="7"/>
    </row>
    <row r="18" spans="1:16" x14ac:dyDescent="0.25">
      <c r="A18" s="6" t="s">
        <v>35</v>
      </c>
      <c r="B18" s="6">
        <f>SUM(J5:J9)</f>
        <v>25150</v>
      </c>
      <c r="C18" s="6" t="str">
        <f t="shared" si="5"/>
        <v>Income</v>
      </c>
      <c r="D18" s="1" t="s">
        <v>35</v>
      </c>
      <c r="E18" s="1"/>
      <c r="F18" s="1"/>
      <c r="G18" s="1"/>
      <c r="H18" s="1"/>
      <c r="I18" s="1"/>
      <c r="J18" s="1"/>
      <c r="K18" s="1"/>
      <c r="L18" s="1"/>
      <c r="N18" s="7" t="s">
        <v>37</v>
      </c>
      <c r="O18" s="7"/>
      <c r="P18" s="7"/>
    </row>
    <row r="19" spans="1:16" x14ac:dyDescent="0.25">
      <c r="A19" s="6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  <c r="N19" s="7" t="s">
        <v>34</v>
      </c>
      <c r="O19" s="7"/>
      <c r="P19" s="7"/>
    </row>
    <row r="20" spans="1:16" x14ac:dyDescent="0.25">
      <c r="N20" s="7" t="s">
        <v>35</v>
      </c>
      <c r="O20" s="7"/>
      <c r="P20" s="7"/>
    </row>
  </sheetData>
  <mergeCells count="3">
    <mergeCell ref="A1:L1"/>
    <mergeCell ref="A2:L2"/>
    <mergeCell ref="G14:H14"/>
  </mergeCells>
  <phoneticPr fontId="1" type="noConversion"/>
  <conditionalFormatting sqref="I5:K9">
    <cfRule type="expression" dxfId="20" priority="1">
      <formula>$K5="Over Deduct"</formula>
    </cfRule>
    <cfRule type="expression" dxfId="19" priority="2">
      <formula>$K5="In Rang Deduct"</formula>
    </cfRule>
  </conditionalFormatting>
  <conditionalFormatting sqref="K5:K9">
    <cfRule type="containsText" dxfId="18" priority="3" operator="containsText" text="Over Deduct">
      <formula>NOT(ISERROR(SEARCH("Over Deduct",K5)))</formula>
    </cfRule>
    <cfRule type="containsText" dxfId="17" priority="4" operator="containsText" text="In Rang Deduct">
      <formula>NOT(ISERROR(SEARCH("In Rang Deduct",K5)))</formula>
    </cfRule>
  </conditionalFormatting>
  <dataValidations count="7">
    <dataValidation type="custom" allowBlank="1" showInputMessage="1" showErrorMessage="1" sqref="A19" xr:uid="{8701843C-D337-4312-B498-00BA9A222A10}">
      <formula1>OR(A19="Basic Salary",A19="Allowance",A19="Gross salary",A19="tax Deduct",A19="Loan Deduct",A19="Total Deduct",A19="Net Salary")</formula1>
    </dataValidation>
    <dataValidation type="custom" allowBlank="1" showInputMessage="1" showErrorMessage="1" sqref="A13:A18" xr:uid="{99BB0096-583F-490C-8F07-5FFA8EEA028F}">
      <formula1>OR(A13="Basic Salary",A13="Allowance",A13="Gross Salary",A13="Tax Deduct",A13="Loan Deduct",A13="Total Deduct",A13="Net Salary")</formula1>
    </dataValidation>
    <dataValidation type="list" allowBlank="1" showInputMessage="1" showErrorMessage="1" sqref="D12:D18" xr:uid="{BEDF626D-FA4E-4125-B0E0-C58FFDC18D78}">
      <formula1>"Basic Salary,Allowance,Gross Salary,Tax deduct, Total Deduct,Net Salary"</formula1>
    </dataValidation>
    <dataValidation type="list" allowBlank="1" showInputMessage="1" showErrorMessage="1" sqref="G16 I16" xr:uid="{F6E7FC1C-776A-4338-B276-488BDD69ED66}">
      <formula1>$A$12:$A$18</formula1>
    </dataValidation>
    <dataValidation type="custom" allowBlank="1" showInputMessage="1" showErrorMessage="1" sqref="N18:N20 N14:N16" xr:uid="{CB6E1D98-E971-476A-B05A-CC208A57D786}">
      <formula1>OR(N14="Basic Salary",N14="Allowance",N14="Gross Salary",N14="Tax Deduct",N14="Loan Deduct",N14="Total Deduct",N14="Net Salary",)</formula1>
    </dataValidation>
    <dataValidation type="list" allowBlank="1" showInputMessage="1" showErrorMessage="1" sqref="R9 E12" xr:uid="{F29797B9-5FF2-4655-9EA8-C5E11C3CA4B6}">
      <formula1>$A$4:$K$4</formula1>
    </dataValidation>
    <dataValidation type="custom" allowBlank="1" showInputMessage="1" showErrorMessage="1" sqref="A12" xr:uid="{6B9852E6-B053-4D57-BEA0-F62EBF3565C4}">
      <formula1>OR(A12="Basic Salary",A12="Allowance",A12="Gross Salary",A12="Tax Deduct",A12="Loan Deduct",A12="Total Deduct",A12="Net Salary")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C143-CD6F-4164-98ED-F61EF11435CD}">
  <dimension ref="A1:P20"/>
  <sheetViews>
    <sheetView zoomScaleNormal="100" workbookViewId="0">
      <selection activeCell="A4" sqref="A4:K9"/>
    </sheetView>
  </sheetViews>
  <sheetFormatPr defaultRowHeight="15" x14ac:dyDescent="0.25"/>
  <cols>
    <col min="1" max="1" width="11" customWidth="1"/>
    <col min="2" max="2" width="10.140625" customWidth="1"/>
    <col min="4" max="4" width="11.140625" customWidth="1"/>
    <col min="7" max="7" width="12.42578125" customWidth="1"/>
    <col min="8" max="8" width="12.85546875" customWidth="1"/>
    <col min="11" max="11" width="14.28515625" customWidth="1"/>
    <col min="14" max="14" width="11.140625" customWidth="1"/>
  </cols>
  <sheetData>
    <row r="1" spans="1:16" ht="18.7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6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6" ht="7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ht="25.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28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1"/>
    </row>
    <row r="5" spans="1:16" x14ac:dyDescent="0.25">
      <c r="A5" s="3" t="s">
        <v>22</v>
      </c>
      <c r="B5" s="3" t="s">
        <v>27</v>
      </c>
      <c r="C5" s="3">
        <v>8000</v>
      </c>
      <c r="D5" s="3">
        <v>500</v>
      </c>
      <c r="E5" s="3">
        <v>15</v>
      </c>
      <c r="F5" s="3">
        <f>C5*E5%</f>
        <v>1200</v>
      </c>
      <c r="G5" s="3">
        <v>500</v>
      </c>
      <c r="H5" s="3">
        <f>F5+G5</f>
        <v>1700</v>
      </c>
      <c r="I5" s="3">
        <f>C5+D5</f>
        <v>8500</v>
      </c>
      <c r="J5" s="3">
        <f>I5-H5</f>
        <v>6800</v>
      </c>
      <c r="K5" s="3" t="str">
        <f>IF(F5&gt;J5*10%,"over Deduct",IF(F5&lt;=J5*10%,"In Rang Deduct"))</f>
        <v>over Deduct</v>
      </c>
      <c r="L5" s="1"/>
      <c r="M5" t="b">
        <f>OR(N14="Basic Salary",N14="Allowance",N14="Gross Salary",N14="Tax Deduct",N14="Loan Deduct",N14="Total Deduct",N14="Net Salary",)</f>
        <v>1</v>
      </c>
    </row>
    <row r="6" spans="1:16" x14ac:dyDescent="0.25">
      <c r="A6" s="3" t="s">
        <v>18</v>
      </c>
      <c r="B6" s="3" t="s">
        <v>23</v>
      </c>
      <c r="C6" s="3">
        <v>6000</v>
      </c>
      <c r="D6" s="3">
        <v>1000</v>
      </c>
      <c r="E6" s="3">
        <v>10</v>
      </c>
      <c r="F6" s="3">
        <f>C6*E6%</f>
        <v>600</v>
      </c>
      <c r="G6" s="3">
        <v>400</v>
      </c>
      <c r="H6" s="3">
        <f>F6+G6</f>
        <v>1000</v>
      </c>
      <c r="I6" s="3">
        <f>C6+D6</f>
        <v>7000</v>
      </c>
      <c r="J6" s="3">
        <f>I6-H6</f>
        <v>6000</v>
      </c>
      <c r="K6" s="3" t="str">
        <f>IF(F6&gt;J6*10%,"over Deduct",IF(F6&lt;=J6*10%,"In Rang Deduct"))</f>
        <v>In Rang Deduct</v>
      </c>
      <c r="L6" s="1"/>
    </row>
    <row r="7" spans="1:16" x14ac:dyDescent="0.25">
      <c r="A7" s="3" t="s">
        <v>19</v>
      </c>
      <c r="B7" s="3" t="s">
        <v>24</v>
      </c>
      <c r="C7" s="3">
        <v>5000</v>
      </c>
      <c r="D7" s="3">
        <v>1200</v>
      </c>
      <c r="E7" s="3">
        <v>15</v>
      </c>
      <c r="F7" s="3">
        <f>C7*E7%</f>
        <v>750</v>
      </c>
      <c r="G7" s="3">
        <v>500</v>
      </c>
      <c r="H7" s="3">
        <f>F7+G7</f>
        <v>1250</v>
      </c>
      <c r="I7" s="3">
        <f>C7+D7</f>
        <v>6200</v>
      </c>
      <c r="J7" s="3">
        <f>I7-H7</f>
        <v>4950</v>
      </c>
      <c r="K7" s="3" t="str">
        <f>IF(F7&gt;J7*10%,"over Deduct",IF(F7&lt;=J7*10%,"In Rang Deduct"))</f>
        <v>over Deduct</v>
      </c>
      <c r="L7" s="1"/>
    </row>
    <row r="8" spans="1:16" x14ac:dyDescent="0.25">
      <c r="A8" s="3" t="s">
        <v>20</v>
      </c>
      <c r="B8" s="3" t="s">
        <v>25</v>
      </c>
      <c r="C8" s="3">
        <v>4000</v>
      </c>
      <c r="D8" s="3">
        <v>1500</v>
      </c>
      <c r="E8" s="3">
        <v>20</v>
      </c>
      <c r="F8" s="3">
        <f>C8*E8%</f>
        <v>800</v>
      </c>
      <c r="G8" s="3">
        <v>500</v>
      </c>
      <c r="H8" s="3">
        <f>F8+G8</f>
        <v>1300</v>
      </c>
      <c r="I8" s="3">
        <f>C8+D8</f>
        <v>5500</v>
      </c>
      <c r="J8" s="3">
        <f>I8-H8</f>
        <v>4200</v>
      </c>
      <c r="K8" s="3" t="str">
        <f>IF(F8&gt;J8*10%,"over Deduct",IF(F8&lt;=J8*10%,"In Rang Deduct"))</f>
        <v>over Deduct</v>
      </c>
      <c r="L8" s="1"/>
    </row>
    <row r="9" spans="1:16" x14ac:dyDescent="0.25">
      <c r="A9" s="3" t="s">
        <v>21</v>
      </c>
      <c r="B9" s="3" t="s">
        <v>26</v>
      </c>
      <c r="C9" s="3">
        <v>3000</v>
      </c>
      <c r="D9" s="3">
        <v>1000</v>
      </c>
      <c r="E9" s="3">
        <v>10</v>
      </c>
      <c r="F9" s="3">
        <f>C9*E9%</f>
        <v>300</v>
      </c>
      <c r="G9" s="3">
        <v>500</v>
      </c>
      <c r="H9" s="3">
        <f>F9+G9</f>
        <v>800</v>
      </c>
      <c r="I9" s="3">
        <f>C9+D9</f>
        <v>4000</v>
      </c>
      <c r="J9" s="3">
        <f>I9-H9</f>
        <v>3200</v>
      </c>
      <c r="K9" s="3" t="str">
        <f>IF(F9&gt;J9*10%,"over Deduct",IF(F9&lt;=J9*10%,"In Rang Deduct"))</f>
        <v>In Rang Deduct</v>
      </c>
      <c r="L9" s="1"/>
    </row>
    <row r="10" spans="1:16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6" ht="26.25" x14ac:dyDescent="0.25">
      <c r="A11" s="5" t="s">
        <v>12</v>
      </c>
      <c r="B11" s="5" t="s">
        <v>13</v>
      </c>
      <c r="C11" s="6" t="s">
        <v>14</v>
      </c>
      <c r="D11" s="1"/>
      <c r="E11" s="1"/>
      <c r="F11" s="1"/>
      <c r="G11" s="1"/>
      <c r="H11" s="1"/>
      <c r="I11" s="1"/>
      <c r="J11" s="1"/>
      <c r="K11" s="1"/>
      <c r="L11" s="1"/>
    </row>
    <row r="12" spans="1:16" x14ac:dyDescent="0.25">
      <c r="A12" s="6" t="s">
        <v>30</v>
      </c>
      <c r="B12" s="6">
        <f>SUM(C5:C9)</f>
        <v>26000</v>
      </c>
      <c r="C12" s="6" t="str">
        <f>IF(OR(A12="Basic Salary",A12="Net Salary",A12="Allowance"),"Income","Expense")</f>
        <v>Income</v>
      </c>
      <c r="D12" s="1" t="s">
        <v>29</v>
      </c>
      <c r="E12" s="1"/>
      <c r="F12" s="1"/>
      <c r="G12" s="1"/>
      <c r="H12" s="1"/>
      <c r="I12" s="1"/>
      <c r="J12" s="1"/>
      <c r="K12" s="1"/>
      <c r="L12" s="1"/>
    </row>
    <row r="13" spans="1:16" ht="26.25" x14ac:dyDescent="0.25">
      <c r="A13" s="6" t="s">
        <v>31</v>
      </c>
      <c r="B13" s="6">
        <f>SUM(D5:D9)</f>
        <v>5200</v>
      </c>
      <c r="C13" s="6" t="str">
        <f t="shared" ref="C13:C18" si="0">IF(OR(A13="Basic Salary",A13="Net Salary",A13="Allowance"),"Income","Expense")</f>
        <v>Income</v>
      </c>
      <c r="D13" s="1" t="s">
        <v>31</v>
      </c>
      <c r="E13" s="1"/>
      <c r="F13" s="1"/>
      <c r="G13" s="1"/>
      <c r="H13" s="1"/>
      <c r="I13" s="1"/>
      <c r="J13" s="1"/>
      <c r="K13" s="1"/>
      <c r="L13" s="1"/>
      <c r="N13" s="5" t="s">
        <v>12</v>
      </c>
      <c r="O13" s="5" t="s">
        <v>13</v>
      </c>
      <c r="P13" s="6" t="s">
        <v>14</v>
      </c>
    </row>
    <row r="14" spans="1:16" x14ac:dyDescent="0.25">
      <c r="A14" s="6" t="s">
        <v>32</v>
      </c>
      <c r="B14" s="6">
        <f>SUM(I5:I9)</f>
        <v>31200</v>
      </c>
      <c r="C14" s="6" t="str">
        <f t="shared" si="0"/>
        <v>Expense</v>
      </c>
      <c r="D14" s="1" t="s">
        <v>32</v>
      </c>
      <c r="E14" s="1"/>
      <c r="F14" s="1"/>
      <c r="G14" s="33" t="s">
        <v>15</v>
      </c>
      <c r="H14" s="33"/>
      <c r="I14" s="1"/>
      <c r="J14" s="1"/>
      <c r="K14" s="1"/>
      <c r="L14" s="1"/>
      <c r="N14" s="7" t="s">
        <v>29</v>
      </c>
      <c r="O14" s="7"/>
      <c r="P14" s="7"/>
    </row>
    <row r="15" spans="1:16" x14ac:dyDescent="0.25">
      <c r="A15" s="6" t="s">
        <v>33</v>
      </c>
      <c r="B15" s="6">
        <f>SUM(F5:F9)</f>
        <v>3650</v>
      </c>
      <c r="C15" s="6" t="str">
        <f t="shared" si="0"/>
        <v>Expense</v>
      </c>
      <c r="D15" s="1" t="s">
        <v>36</v>
      </c>
      <c r="E15" s="1"/>
      <c r="F15" s="1"/>
      <c r="G15" s="6" t="s">
        <v>16</v>
      </c>
      <c r="H15" s="6" t="s">
        <v>17</v>
      </c>
      <c r="I15" s="1"/>
      <c r="J15" s="1"/>
      <c r="K15" s="1"/>
      <c r="L15" s="1"/>
      <c r="N15" s="7" t="s">
        <v>31</v>
      </c>
      <c r="O15" s="7"/>
      <c r="P15" s="7"/>
    </row>
    <row r="16" spans="1:16" x14ac:dyDescent="0.25">
      <c r="A16" s="6" t="s">
        <v>37</v>
      </c>
      <c r="B16" s="6">
        <f>SUM(G5:G9)</f>
        <v>2400</v>
      </c>
      <c r="C16" s="6" t="str">
        <f t="shared" si="0"/>
        <v>Expense</v>
      </c>
      <c r="D16" s="1" t="s">
        <v>36</v>
      </c>
      <c r="E16" s="1"/>
      <c r="F16" s="1"/>
      <c r="G16" s="1" t="s">
        <v>32</v>
      </c>
      <c r="H16" s="1">
        <f>VLOOKUP(G16,A12:B18,2,0)</f>
        <v>31200</v>
      </c>
      <c r="I16" s="1" t="s">
        <v>35</v>
      </c>
      <c r="J16" s="1">
        <f>VLOOKUP(I16,A12:B18,2,0)</f>
        <v>25150</v>
      </c>
      <c r="K16" s="1"/>
      <c r="L16" s="1"/>
      <c r="N16" s="7" t="s">
        <v>32</v>
      </c>
      <c r="O16" s="7"/>
      <c r="P16" s="7"/>
    </row>
    <row r="17" spans="1:16" x14ac:dyDescent="0.25">
      <c r="A17" s="6" t="s">
        <v>34</v>
      </c>
      <c r="B17" s="6">
        <f>SUM(H5:H9)</f>
        <v>6050</v>
      </c>
      <c r="C17" s="6" t="str">
        <f t="shared" si="0"/>
        <v>Expense</v>
      </c>
      <c r="D17" s="1" t="s">
        <v>34</v>
      </c>
      <c r="E17" s="1"/>
      <c r="F17" s="1"/>
      <c r="G17" s="1"/>
      <c r="H17" s="1"/>
      <c r="I17" s="1"/>
      <c r="J17" s="1"/>
      <c r="K17" s="1"/>
      <c r="L17" s="1"/>
      <c r="N17" s="7" t="s">
        <v>33</v>
      </c>
      <c r="O17" s="7"/>
      <c r="P17" s="7"/>
    </row>
    <row r="18" spans="1:16" x14ac:dyDescent="0.25">
      <c r="A18" s="6" t="s">
        <v>35</v>
      </c>
      <c r="B18" s="6">
        <f>SUM(J5:J9)</f>
        <v>25150</v>
      </c>
      <c r="C18" s="6" t="str">
        <f t="shared" si="0"/>
        <v>Income</v>
      </c>
      <c r="D18" s="1" t="s">
        <v>35</v>
      </c>
      <c r="E18" s="1"/>
      <c r="F18" s="1"/>
      <c r="G18" s="1"/>
      <c r="H18" s="1"/>
      <c r="I18" s="1"/>
      <c r="J18" s="1"/>
      <c r="K18" s="1"/>
      <c r="L18" s="1"/>
      <c r="N18" s="7" t="s">
        <v>37</v>
      </c>
      <c r="O18" s="7"/>
      <c r="P18" s="7"/>
    </row>
    <row r="19" spans="1:16" x14ac:dyDescent="0.25">
      <c r="A19" s="6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  <c r="N19" s="7" t="s">
        <v>34</v>
      </c>
      <c r="O19" s="7"/>
      <c r="P19" s="7"/>
    </row>
    <row r="20" spans="1:16" x14ac:dyDescent="0.25">
      <c r="N20" s="7" t="s">
        <v>35</v>
      </c>
      <c r="O20" s="7"/>
      <c r="P20" s="7"/>
    </row>
  </sheetData>
  <autoFilter ref="A4:K4" xr:uid="{598DC143-CD6F-4164-98ED-F61EF11435CD}"/>
  <sortState xmlns:xlrd2="http://schemas.microsoft.com/office/spreadsheetml/2017/richdata2" ref="A5:K9">
    <sortCondition descending="1" ref="C5:C9"/>
  </sortState>
  <mergeCells count="3">
    <mergeCell ref="A1:L1"/>
    <mergeCell ref="A2:L2"/>
    <mergeCell ref="G14:H14"/>
  </mergeCells>
  <conditionalFormatting sqref="K5:K9">
    <cfRule type="containsText" dxfId="16" priority="1" operator="containsText" text="Over Deduct">
      <formula>NOT(ISERROR(SEARCH("Over Deduct",K5)))</formula>
    </cfRule>
    <cfRule type="containsText" dxfId="15" priority="2" operator="containsText" text="In Rang Deduct">
      <formula>NOT(ISERROR(SEARCH("In Rang Deduct",K5)))</formula>
    </cfRule>
  </conditionalFormatting>
  <dataValidations count="6">
    <dataValidation type="list" allowBlank="1" showInputMessage="1" showErrorMessage="1" sqref="R9 E12" xr:uid="{57575F44-15F6-4BA7-AFD3-9789E698B545}">
      <formula1>$A$4:$K$4</formula1>
    </dataValidation>
    <dataValidation type="custom" allowBlank="1" showInputMessage="1" showErrorMessage="1" sqref="N18:N20 N14:N16" xr:uid="{415095F9-105D-4F95-96BE-352CB5B2BC8E}">
      <formula1>OR(N14="Basic Salary",N14="Allowance",N14="Gross Salary",N14="Tax Deduct",N14="Loan Deduct",N14="Total Deduct",N14="Net Salary",)</formula1>
    </dataValidation>
    <dataValidation type="list" allowBlank="1" showInputMessage="1" showErrorMessage="1" sqref="G16 I16" xr:uid="{5EE9C013-6338-4E10-9A19-B58E1F232A7D}">
      <formula1>$A$12:$A$18</formula1>
    </dataValidation>
    <dataValidation type="list" allowBlank="1" showInputMessage="1" showErrorMessage="1" sqref="D12:D18" xr:uid="{DCC6C06E-DEEF-47D1-9F1E-5523DBBC7B9C}">
      <formula1>"Basic Salary,Allowance,Gross Salary,Tax deduct, Total Deduct,Net Salary"</formula1>
    </dataValidation>
    <dataValidation type="custom" allowBlank="1" showInputMessage="1" showErrorMessage="1" sqref="A12:A18" xr:uid="{B01CAB60-4974-4134-9C36-61E1290785BD}">
      <formula1>OR(A12="Basic Salary",A12="Allowance",A12="Gross Salary",A12="Tax Deduct",A12="Loan Deduct",A12="Total Deduct",A12="Net Salary")</formula1>
    </dataValidation>
    <dataValidation type="custom" allowBlank="1" showInputMessage="1" showErrorMessage="1" sqref="A19" xr:uid="{DFC82BDF-D402-4FEF-8121-7060A23FC975}">
      <formula1>OR(A19="Basic Salary",A19="Allowance",A19="Gross salary",A19="tax Deduct",A19="Loan Deduct",A19="Total Deduct",A19="Net Salary")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453B-A827-4728-B947-B670382BFFD3}">
  <dimension ref="A1:L19"/>
  <sheetViews>
    <sheetView zoomScale="98" zoomScaleNormal="98" workbookViewId="0">
      <selection activeCell="A12" sqref="A12"/>
    </sheetView>
  </sheetViews>
  <sheetFormatPr defaultRowHeight="15" x14ac:dyDescent="0.25"/>
  <cols>
    <col min="1" max="1" width="11" customWidth="1"/>
    <col min="2" max="2" width="10.140625" customWidth="1"/>
    <col min="4" max="4" width="11.140625" customWidth="1"/>
    <col min="7" max="7" width="12.42578125" customWidth="1"/>
    <col min="8" max="8" width="12.85546875" customWidth="1"/>
    <col min="11" max="11" width="14.28515625" customWidth="1"/>
  </cols>
  <sheetData>
    <row r="1" spans="1:12" ht="18.7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7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5.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28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1"/>
    </row>
    <row r="5" spans="1:12" x14ac:dyDescent="0.25">
      <c r="A5" s="3" t="s">
        <v>18</v>
      </c>
      <c r="B5" s="3" t="s">
        <v>23</v>
      </c>
      <c r="C5" s="3">
        <v>6000</v>
      </c>
      <c r="D5" s="3">
        <v>1000</v>
      </c>
      <c r="E5" s="3">
        <v>10</v>
      </c>
      <c r="F5" s="3">
        <f>C5*E5%</f>
        <v>600</v>
      </c>
      <c r="G5" s="3">
        <v>400</v>
      </c>
      <c r="H5" s="3">
        <f>F5+G5</f>
        <v>1000</v>
      </c>
      <c r="I5" s="3">
        <f>C5+D5</f>
        <v>7000</v>
      </c>
      <c r="J5" s="3">
        <f>I5-H5</f>
        <v>6000</v>
      </c>
      <c r="K5" s="3" t="str">
        <f>IF(F5&gt;J5*10%,"over Deduct",IF(F5&lt;=J5*10%,"In Rang Deduct"))</f>
        <v>In Rang Deduct</v>
      </c>
      <c r="L5" s="1"/>
    </row>
    <row r="6" spans="1:12" x14ac:dyDescent="0.25">
      <c r="A6" s="3" t="s">
        <v>19</v>
      </c>
      <c r="B6" s="3" t="s">
        <v>24</v>
      </c>
      <c r="C6" s="3">
        <v>5000</v>
      </c>
      <c r="D6" s="3">
        <v>1200</v>
      </c>
      <c r="E6" s="3">
        <v>15</v>
      </c>
      <c r="F6" s="3">
        <f t="shared" ref="F6:F9" si="0">C6*E6%</f>
        <v>750</v>
      </c>
      <c r="G6" s="3">
        <v>500</v>
      </c>
      <c r="H6" s="3">
        <f t="shared" ref="H6:H9" si="1">F6+G6</f>
        <v>1250</v>
      </c>
      <c r="I6" s="3">
        <f t="shared" ref="I6:I9" si="2">C6+D6</f>
        <v>6200</v>
      </c>
      <c r="J6" s="3">
        <f t="shared" ref="J6:J9" si="3">I6-H6</f>
        <v>4950</v>
      </c>
      <c r="K6" s="3" t="str">
        <f t="shared" ref="K6:K9" si="4">IF(F6&gt;J6*10%,"over Deduct",IF(F6&lt;=J6*10%,"In Rang Deduct"))</f>
        <v>over Deduct</v>
      </c>
      <c r="L6" s="1"/>
    </row>
    <row r="7" spans="1:12" x14ac:dyDescent="0.25">
      <c r="A7" s="3" t="s">
        <v>20</v>
      </c>
      <c r="B7" s="3" t="s">
        <v>25</v>
      </c>
      <c r="C7" s="3">
        <v>4000</v>
      </c>
      <c r="D7" s="3">
        <v>1500</v>
      </c>
      <c r="E7" s="3">
        <v>20</v>
      </c>
      <c r="F7" s="3">
        <f t="shared" si="0"/>
        <v>800</v>
      </c>
      <c r="G7" s="3">
        <v>500</v>
      </c>
      <c r="H7" s="3">
        <f t="shared" si="1"/>
        <v>1300</v>
      </c>
      <c r="I7" s="3">
        <f t="shared" si="2"/>
        <v>5500</v>
      </c>
      <c r="J7" s="3">
        <f t="shared" si="3"/>
        <v>4200</v>
      </c>
      <c r="K7" s="3" t="str">
        <f t="shared" si="4"/>
        <v>over Deduct</v>
      </c>
      <c r="L7" s="1"/>
    </row>
    <row r="8" spans="1:12" x14ac:dyDescent="0.25">
      <c r="A8" s="3" t="s">
        <v>21</v>
      </c>
      <c r="B8" s="3" t="s">
        <v>26</v>
      </c>
      <c r="C8" s="3">
        <v>3000</v>
      </c>
      <c r="D8" s="3">
        <v>1000</v>
      </c>
      <c r="E8" s="3">
        <v>10</v>
      </c>
      <c r="F8" s="3">
        <f t="shared" si="0"/>
        <v>300</v>
      </c>
      <c r="G8" s="3">
        <v>500</v>
      </c>
      <c r="H8" s="3">
        <f t="shared" si="1"/>
        <v>800</v>
      </c>
      <c r="I8" s="3">
        <f t="shared" si="2"/>
        <v>4000</v>
      </c>
      <c r="J8" s="3">
        <f t="shared" si="3"/>
        <v>3200</v>
      </c>
      <c r="K8" s="3" t="str">
        <f t="shared" si="4"/>
        <v>In Rang Deduct</v>
      </c>
      <c r="L8" s="1"/>
    </row>
    <row r="9" spans="1:12" x14ac:dyDescent="0.25">
      <c r="A9" s="3" t="s">
        <v>22</v>
      </c>
      <c r="B9" s="3" t="s">
        <v>27</v>
      </c>
      <c r="C9" s="3">
        <v>8000</v>
      </c>
      <c r="D9" s="3">
        <v>500</v>
      </c>
      <c r="E9" s="3">
        <v>15</v>
      </c>
      <c r="F9" s="3">
        <f t="shared" si="0"/>
        <v>1200</v>
      </c>
      <c r="G9" s="3">
        <v>500</v>
      </c>
      <c r="H9" s="3">
        <f t="shared" si="1"/>
        <v>1700</v>
      </c>
      <c r="I9" s="3">
        <f t="shared" si="2"/>
        <v>8500</v>
      </c>
      <c r="J9" s="3">
        <f t="shared" si="3"/>
        <v>6800</v>
      </c>
      <c r="K9" s="3" t="str">
        <f t="shared" si="4"/>
        <v>over Deduct</v>
      </c>
      <c r="L9" s="1"/>
    </row>
    <row r="10" spans="1:12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6.25" x14ac:dyDescent="0.25">
      <c r="A11" s="5" t="s">
        <v>12</v>
      </c>
      <c r="B11" s="5" t="s">
        <v>13</v>
      </c>
      <c r="C11" s="6" t="s">
        <v>14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6" t="s">
        <v>30</v>
      </c>
      <c r="B12" s="6">
        <f>SUM(C5:C9)</f>
        <v>26000</v>
      </c>
      <c r="C12" s="6" t="str">
        <f>IF(OR(A12="Basic Salary",A12="Net Salary",A12="Allowance"),"Income","Expense")</f>
        <v>Income</v>
      </c>
      <c r="D12" s="1" t="s">
        <v>29</v>
      </c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6" t="s">
        <v>31</v>
      </c>
      <c r="B13" s="6">
        <f>SUM(D5:D9)</f>
        <v>5200</v>
      </c>
      <c r="C13" s="6" t="str">
        <f t="shared" ref="C13:C18" si="5">IF(OR(A13="Basic Salary",A13="Net Salary",A13="Allowance"),"Income","Expense")</f>
        <v>Income</v>
      </c>
      <c r="D13" s="1" t="s">
        <v>31</v>
      </c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6" t="s">
        <v>32</v>
      </c>
      <c r="B14" s="6">
        <f>SUM(I5:I9)</f>
        <v>31200</v>
      </c>
      <c r="C14" s="6" t="str">
        <f t="shared" si="5"/>
        <v>Expense</v>
      </c>
      <c r="D14" s="1" t="s">
        <v>32</v>
      </c>
      <c r="E14" s="1"/>
      <c r="F14" s="1"/>
      <c r="G14" s="33" t="s">
        <v>15</v>
      </c>
      <c r="H14" s="33"/>
      <c r="I14" s="1"/>
      <c r="J14" s="1"/>
      <c r="K14" s="1"/>
      <c r="L14" s="1"/>
    </row>
    <row r="15" spans="1:12" x14ac:dyDescent="0.25">
      <c r="A15" s="6" t="s">
        <v>33</v>
      </c>
      <c r="B15" s="6">
        <f>SUM(F5:F9)</f>
        <v>3650</v>
      </c>
      <c r="C15" s="6" t="str">
        <f t="shared" si="5"/>
        <v>Expense</v>
      </c>
      <c r="D15" s="1" t="s">
        <v>36</v>
      </c>
      <c r="E15" s="1"/>
      <c r="F15" s="1"/>
      <c r="G15" s="6" t="s">
        <v>16</v>
      </c>
      <c r="H15" s="6" t="s">
        <v>17</v>
      </c>
      <c r="I15" s="1"/>
      <c r="J15" s="1"/>
      <c r="K15" s="1"/>
      <c r="L15" s="1"/>
    </row>
    <row r="16" spans="1:12" x14ac:dyDescent="0.25">
      <c r="A16" s="6" t="s">
        <v>37</v>
      </c>
      <c r="B16" s="6">
        <f>SUM(G5:G9)</f>
        <v>2400</v>
      </c>
      <c r="C16" s="6" t="str">
        <f t="shared" si="5"/>
        <v>Expense</v>
      </c>
      <c r="D16" s="1" t="s">
        <v>36</v>
      </c>
      <c r="E16" s="1"/>
      <c r="F16" s="1"/>
      <c r="G16" s="1" t="s">
        <v>32</v>
      </c>
      <c r="H16" s="1">
        <f>VLOOKUP(G16,A12:B18,2,0)</f>
        <v>31200</v>
      </c>
      <c r="I16" s="1" t="s">
        <v>35</v>
      </c>
      <c r="J16" s="1">
        <f>VLOOKUP(I16,A12:B18,2,0)</f>
        <v>25150</v>
      </c>
      <c r="K16" s="1"/>
      <c r="L16" s="1"/>
    </row>
    <row r="17" spans="1:12" x14ac:dyDescent="0.25">
      <c r="A17" s="6" t="s">
        <v>34</v>
      </c>
      <c r="B17" s="6">
        <f>SUM(H5:H9)</f>
        <v>6050</v>
      </c>
      <c r="C17" s="6" t="str">
        <f t="shared" si="5"/>
        <v>Expense</v>
      </c>
      <c r="D17" s="1" t="s">
        <v>34</v>
      </c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6" t="s">
        <v>35</v>
      </c>
      <c r="B18" s="6">
        <f>SUM(J5:J9)</f>
        <v>25150</v>
      </c>
      <c r="C18" s="6" t="str">
        <f t="shared" si="5"/>
        <v>Income</v>
      </c>
      <c r="D18" s="1" t="s">
        <v>35</v>
      </c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6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</row>
  </sheetData>
  <autoFilter ref="A4:K4" xr:uid="{F9B9453B-A827-4728-B947-B670382BFFD3}"/>
  <mergeCells count="3">
    <mergeCell ref="A1:L1"/>
    <mergeCell ref="A2:L2"/>
    <mergeCell ref="G14:H14"/>
  </mergeCells>
  <conditionalFormatting sqref="K5:K9">
    <cfRule type="containsText" dxfId="14" priority="1" operator="containsText" text="Over Deduct">
      <formula>NOT(ISERROR(SEARCH("Over Deduct",K5)))</formula>
    </cfRule>
    <cfRule type="containsText" dxfId="13" priority="2" operator="containsText" text="In Rang Deduct">
      <formula>NOT(ISERROR(SEARCH("In Rang Deduct",K5)))</formula>
    </cfRule>
  </conditionalFormatting>
  <dataValidations count="4">
    <dataValidation type="list" allowBlank="1" showInputMessage="1" showErrorMessage="1" sqref="G16 I16" xr:uid="{7E334671-84E0-4E95-9D44-87D78D68ED3E}">
      <formula1>$A$12:$A$18</formula1>
    </dataValidation>
    <dataValidation type="list" allowBlank="1" showInputMessage="1" showErrorMessage="1" sqref="D12:D18" xr:uid="{63BC29D8-D56C-48AE-9016-2EA58F109C58}">
      <formula1>"Basic Salary,Allowance,Gross Salary,Tax deduct, Total Deduct,Net Salary"</formula1>
    </dataValidation>
    <dataValidation type="custom" allowBlank="1" showInputMessage="1" showErrorMessage="1" sqref="A12:A18" xr:uid="{AE7CDF5F-2768-48BB-B027-4DDC366F3049}">
      <formula1>OR(A12="Basic Salary",A12="Allowance",A12="Gross Salary",A12="Tax Deduct",A12="Loan Deduct",A12="Total Deduct",A12="Net Salary")</formula1>
    </dataValidation>
    <dataValidation type="custom" allowBlank="1" showInputMessage="1" showErrorMessage="1" sqref="A19" xr:uid="{73E5DE4B-2BA5-46D4-A99F-C8AA03E725A1}">
      <formula1>OR(A19="Basic Salary",A19="Allowance",A19="Gross salary",A19="tax Deduct",A19="Loan Deduct",A19="Total Deduct",A19="Net Salary")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7F3B-CCAD-47B1-82BF-0C64C9E69E8B}">
  <dimension ref="A1:L19"/>
  <sheetViews>
    <sheetView zoomScale="98" zoomScaleNormal="98" workbookViewId="0">
      <selection activeCell="G11" sqref="G11"/>
    </sheetView>
  </sheetViews>
  <sheetFormatPr defaultRowHeight="15" x14ac:dyDescent="0.25"/>
  <cols>
    <col min="1" max="1" width="11" customWidth="1"/>
    <col min="2" max="2" width="10.140625" customWidth="1"/>
    <col min="4" max="4" width="11.140625" customWidth="1"/>
    <col min="7" max="7" width="12.42578125" customWidth="1"/>
    <col min="8" max="8" width="12.85546875" customWidth="1"/>
    <col min="11" max="11" width="14.28515625" customWidth="1"/>
  </cols>
  <sheetData>
    <row r="1" spans="1:12" ht="18.7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7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5.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28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1"/>
    </row>
    <row r="5" spans="1:12" x14ac:dyDescent="0.25">
      <c r="A5" s="3" t="s">
        <v>18</v>
      </c>
      <c r="B5" s="3" t="s">
        <v>23</v>
      </c>
      <c r="C5" s="3">
        <v>6000</v>
      </c>
      <c r="D5" s="3">
        <v>1000</v>
      </c>
      <c r="E5" s="3">
        <v>10</v>
      </c>
      <c r="F5" s="3">
        <f>C5*E5%</f>
        <v>600</v>
      </c>
      <c r="G5" s="3">
        <v>400</v>
      </c>
      <c r="H5" s="3">
        <f>F5+G5</f>
        <v>1000</v>
      </c>
      <c r="I5" s="3">
        <f>C5+D5</f>
        <v>7000</v>
      </c>
      <c r="J5" s="3">
        <f>I5-H5</f>
        <v>6000</v>
      </c>
      <c r="K5" s="3" t="str">
        <f>IF(F5&gt;J5*10%,"over Deduct",IF(F5&lt;=J5*10%,"In Rang Deduct"))</f>
        <v>In Rang Deduct</v>
      </c>
      <c r="L5" s="1"/>
    </row>
    <row r="6" spans="1:12" x14ac:dyDescent="0.25">
      <c r="A6" s="3" t="s">
        <v>19</v>
      </c>
      <c r="B6" s="3" t="s">
        <v>24</v>
      </c>
      <c r="C6" s="3">
        <v>5000</v>
      </c>
      <c r="D6" s="3">
        <v>1200</v>
      </c>
      <c r="E6" s="3">
        <v>15</v>
      </c>
      <c r="F6" s="3">
        <f t="shared" ref="F6:F9" si="0">C6*E6%</f>
        <v>750</v>
      </c>
      <c r="G6" s="3">
        <v>500</v>
      </c>
      <c r="H6" s="3">
        <f t="shared" ref="H6:H9" si="1">F6+G6</f>
        <v>1250</v>
      </c>
      <c r="I6" s="3">
        <f t="shared" ref="I6:I9" si="2">C6+D6</f>
        <v>6200</v>
      </c>
      <c r="J6" s="3">
        <f t="shared" ref="J6:J9" si="3">I6-H6</f>
        <v>4950</v>
      </c>
      <c r="K6" s="3" t="str">
        <f t="shared" ref="K6:K9" si="4">IF(F6&gt;J6*10%,"over Deduct",IF(F6&lt;=J6*10%,"In Rang Deduct"))</f>
        <v>over Deduct</v>
      </c>
      <c r="L6" s="1"/>
    </row>
    <row r="7" spans="1:12" x14ac:dyDescent="0.25">
      <c r="A7" s="3" t="s">
        <v>20</v>
      </c>
      <c r="B7" s="3" t="s">
        <v>25</v>
      </c>
      <c r="C7" s="3">
        <v>4000</v>
      </c>
      <c r="D7" s="3">
        <v>1500</v>
      </c>
      <c r="E7" s="3">
        <v>20</v>
      </c>
      <c r="F7" s="3">
        <f t="shared" si="0"/>
        <v>800</v>
      </c>
      <c r="G7" s="3">
        <v>500</v>
      </c>
      <c r="H7" s="3">
        <f t="shared" si="1"/>
        <v>1300</v>
      </c>
      <c r="I7" s="3">
        <f t="shared" si="2"/>
        <v>5500</v>
      </c>
      <c r="J7" s="3">
        <f t="shared" si="3"/>
        <v>4200</v>
      </c>
      <c r="K7" s="3" t="str">
        <f t="shared" si="4"/>
        <v>over Deduct</v>
      </c>
      <c r="L7" s="1"/>
    </row>
    <row r="8" spans="1:12" x14ac:dyDescent="0.25">
      <c r="A8" s="3" t="s">
        <v>21</v>
      </c>
      <c r="B8" s="3" t="s">
        <v>26</v>
      </c>
      <c r="C8" s="3">
        <v>3000</v>
      </c>
      <c r="D8" s="3">
        <v>1000</v>
      </c>
      <c r="E8" s="3">
        <v>10</v>
      </c>
      <c r="F8" s="3">
        <f t="shared" si="0"/>
        <v>300</v>
      </c>
      <c r="G8" s="3">
        <v>500</v>
      </c>
      <c r="H8" s="3">
        <f t="shared" si="1"/>
        <v>800</v>
      </c>
      <c r="I8" s="3">
        <f t="shared" si="2"/>
        <v>4000</v>
      </c>
      <c r="J8" s="3">
        <f t="shared" si="3"/>
        <v>3200</v>
      </c>
      <c r="K8" s="3" t="str">
        <f t="shared" si="4"/>
        <v>In Rang Deduct</v>
      </c>
      <c r="L8" s="1"/>
    </row>
    <row r="9" spans="1:12" x14ac:dyDescent="0.25">
      <c r="A9" s="3" t="s">
        <v>22</v>
      </c>
      <c r="B9" s="3" t="s">
        <v>27</v>
      </c>
      <c r="C9" s="3">
        <v>8000</v>
      </c>
      <c r="D9" s="3">
        <v>500</v>
      </c>
      <c r="E9" s="3">
        <v>15</v>
      </c>
      <c r="F9" s="3">
        <f t="shared" si="0"/>
        <v>1200</v>
      </c>
      <c r="G9" s="3">
        <v>500</v>
      </c>
      <c r="H9" s="3">
        <f t="shared" si="1"/>
        <v>1700</v>
      </c>
      <c r="I9" s="3">
        <f t="shared" si="2"/>
        <v>8500</v>
      </c>
      <c r="J9" s="3">
        <f t="shared" si="3"/>
        <v>6800</v>
      </c>
      <c r="K9" s="3" t="str">
        <f t="shared" si="4"/>
        <v>over Deduct</v>
      </c>
      <c r="L9" s="1"/>
    </row>
    <row r="10" spans="1:12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6.25" x14ac:dyDescent="0.25">
      <c r="A11" s="5" t="s">
        <v>12</v>
      </c>
      <c r="B11" s="5" t="s">
        <v>13</v>
      </c>
      <c r="C11" s="6" t="s">
        <v>14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6" t="s">
        <v>30</v>
      </c>
      <c r="B12" s="6">
        <f>SUM(C5:C9)</f>
        <v>26000</v>
      </c>
      <c r="C12" s="6" t="str">
        <f>IF(OR(A12="Basic Salary",A12="Net Salary",A12="Allowance"),"Income","Expense")</f>
        <v>Income</v>
      </c>
      <c r="D12" s="1" t="s">
        <v>29</v>
      </c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6" t="s">
        <v>31</v>
      </c>
      <c r="B13" s="6">
        <f>SUM(D5:D9)</f>
        <v>5200</v>
      </c>
      <c r="C13" s="6" t="str">
        <f t="shared" ref="C13:C18" si="5">IF(OR(A13="Basic Salary",A13="Net Salary",A13="Allowance"),"Income","Expense")</f>
        <v>Income</v>
      </c>
      <c r="D13" s="1" t="s">
        <v>31</v>
      </c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6" t="s">
        <v>32</v>
      </c>
      <c r="B14" s="6">
        <f>SUM(I5:I9)</f>
        <v>31200</v>
      </c>
      <c r="C14" s="6" t="str">
        <f t="shared" si="5"/>
        <v>Expense</v>
      </c>
      <c r="D14" s="1" t="s">
        <v>32</v>
      </c>
      <c r="E14" s="1"/>
      <c r="F14" s="1"/>
      <c r="G14" s="33" t="s">
        <v>15</v>
      </c>
      <c r="H14" s="33"/>
      <c r="I14" s="1"/>
      <c r="J14" s="1"/>
      <c r="K14" s="1"/>
      <c r="L14" s="1"/>
    </row>
    <row r="15" spans="1:12" x14ac:dyDescent="0.25">
      <c r="A15" s="6" t="s">
        <v>33</v>
      </c>
      <c r="B15" s="6">
        <f>SUM(F5:F9)</f>
        <v>3650</v>
      </c>
      <c r="C15" s="6" t="str">
        <f t="shared" si="5"/>
        <v>Expense</v>
      </c>
      <c r="D15" s="1" t="s">
        <v>36</v>
      </c>
      <c r="E15" s="1"/>
      <c r="F15" s="1"/>
      <c r="G15" s="6" t="s">
        <v>16</v>
      </c>
      <c r="H15" s="6" t="s">
        <v>17</v>
      </c>
      <c r="I15" s="1"/>
      <c r="J15" s="1"/>
      <c r="K15" s="1"/>
      <c r="L15" s="1"/>
    </row>
    <row r="16" spans="1:12" x14ac:dyDescent="0.25">
      <c r="A16" s="6" t="s">
        <v>37</v>
      </c>
      <c r="B16" s="6">
        <f>SUM(G5:G9)</f>
        <v>2400</v>
      </c>
      <c r="C16" s="6" t="str">
        <f t="shared" si="5"/>
        <v>Expense</v>
      </c>
      <c r="D16" s="1" t="s">
        <v>36</v>
      </c>
      <c r="E16" s="1"/>
      <c r="F16" s="1"/>
      <c r="G16" s="1" t="s">
        <v>32</v>
      </c>
      <c r="H16" s="1">
        <f>VLOOKUP(G16,A12:B18,2,0)</f>
        <v>31200</v>
      </c>
      <c r="I16" s="1" t="s">
        <v>35</v>
      </c>
      <c r="J16" s="1">
        <f>VLOOKUP(I16,A12:B18,2,0)</f>
        <v>25150</v>
      </c>
      <c r="K16" s="1"/>
      <c r="L16" s="1"/>
    </row>
    <row r="17" spans="1:12" x14ac:dyDescent="0.25">
      <c r="A17" s="6" t="s">
        <v>34</v>
      </c>
      <c r="B17" s="6">
        <f>SUM(H5:H9)</f>
        <v>6050</v>
      </c>
      <c r="C17" s="6" t="str">
        <f t="shared" si="5"/>
        <v>Expense</v>
      </c>
      <c r="D17" s="1" t="s">
        <v>34</v>
      </c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6" t="s">
        <v>35</v>
      </c>
      <c r="B18" s="6">
        <f>SUM(J5:J9)</f>
        <v>25150</v>
      </c>
      <c r="C18" s="6" t="str">
        <f t="shared" si="5"/>
        <v>Income</v>
      </c>
      <c r="D18" s="1" t="s">
        <v>35</v>
      </c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6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</row>
  </sheetData>
  <autoFilter ref="A4:K4" xr:uid="{B5637F3B-CCAD-47B1-82BF-0C64C9E69E8B}"/>
  <mergeCells count="3">
    <mergeCell ref="A1:L1"/>
    <mergeCell ref="A2:L2"/>
    <mergeCell ref="G14:H14"/>
  </mergeCells>
  <conditionalFormatting sqref="A5:B5">
    <cfRule type="expression" dxfId="12" priority="1">
      <formula>$B5="Rakib"</formula>
    </cfRule>
  </conditionalFormatting>
  <conditionalFormatting sqref="A5:B9">
    <cfRule type="expression" dxfId="11" priority="2">
      <formula>$A5="Rakib"</formula>
    </cfRule>
    <cfRule type="expression" dxfId="10" priority="3">
      <formula>B$5="E001"</formula>
    </cfRule>
  </conditionalFormatting>
  <conditionalFormatting sqref="I5:K9">
    <cfRule type="expression" dxfId="9" priority="4">
      <formula>$K5="Over Deduct"</formula>
    </cfRule>
    <cfRule type="expression" dxfId="8" priority="5">
      <formula>$K5="In Rang Deduct"</formula>
    </cfRule>
  </conditionalFormatting>
  <conditionalFormatting sqref="K5:K9">
    <cfRule type="containsText" dxfId="7" priority="6" operator="containsText" text="Over Deduct">
      <formula>NOT(ISERROR(SEARCH("Over Deduct",K5)))</formula>
    </cfRule>
    <cfRule type="containsText" dxfId="6" priority="7" operator="containsText" text="In Rang Deduct">
      <formula>NOT(ISERROR(SEARCH("In Rang Deduct",K5)))</formula>
    </cfRule>
  </conditionalFormatting>
  <dataValidations count="4">
    <dataValidation type="custom" allowBlank="1" showInputMessage="1" showErrorMessage="1" sqref="A19" xr:uid="{21894C76-126F-42FF-A934-F9A831CE4CD9}">
      <formula1>OR(A19="Basic Salary",A19="Allowance",A19="Gross salary",A19="tax Deduct",A19="Loan Deduct",A19="Total Deduct",A19="Net Salary")</formula1>
    </dataValidation>
    <dataValidation type="custom" allowBlank="1" showInputMessage="1" showErrorMessage="1" sqref="A12:A18" xr:uid="{8BBA162A-F1EB-4F12-A717-53D3293D8EC6}">
      <formula1>OR(A12="Basic Salary",A12="Allowance",A12="Gross Salary",A12="Tax Deduct",A12="Loan Deduct",A12="Total Deduct",A12="Net Salary")</formula1>
    </dataValidation>
    <dataValidation type="list" allowBlank="1" showInputMessage="1" showErrorMessage="1" sqref="D12:D18" xr:uid="{B3DEE57F-EFE7-447D-9AA4-9D374B310653}">
      <formula1>"Basic Salary,Allowance,Gross Salary,Tax deduct, Total Deduct,Net Salary"</formula1>
    </dataValidation>
    <dataValidation type="list" allowBlank="1" showInputMessage="1" showErrorMessage="1" sqref="G16 I16" xr:uid="{94AB76A8-4883-4B11-894B-579F2CE5DF2D}">
      <formula1>$A$12:$A$18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867E-61C6-453C-9C20-B3E35CE79C45}">
  <dimension ref="A1:L19"/>
  <sheetViews>
    <sheetView zoomScale="98" zoomScaleNormal="98" workbookViewId="0">
      <selection activeCell="A4" sqref="A4:K4"/>
    </sheetView>
  </sheetViews>
  <sheetFormatPr defaultRowHeight="15" x14ac:dyDescent="0.25"/>
  <cols>
    <col min="1" max="1" width="11" customWidth="1"/>
    <col min="2" max="2" width="10.140625" customWidth="1"/>
    <col min="4" max="4" width="11.140625" customWidth="1"/>
    <col min="7" max="7" width="12.42578125" customWidth="1"/>
    <col min="8" max="8" width="12.85546875" customWidth="1"/>
    <col min="11" max="11" width="14.28515625" customWidth="1"/>
  </cols>
  <sheetData>
    <row r="1" spans="1:12" ht="18.7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7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5.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28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1"/>
    </row>
    <row r="5" spans="1:12" x14ac:dyDescent="0.25">
      <c r="A5" s="3" t="s">
        <v>18</v>
      </c>
      <c r="B5" s="3" t="s">
        <v>23</v>
      </c>
      <c r="C5" s="3">
        <v>6000</v>
      </c>
      <c r="D5" s="3">
        <v>1000</v>
      </c>
      <c r="E5" s="3">
        <v>10</v>
      </c>
      <c r="F5" s="3">
        <f>C5*E5%</f>
        <v>600</v>
      </c>
      <c r="G5" s="3">
        <v>400</v>
      </c>
      <c r="H5" s="3">
        <f>F5+G5</f>
        <v>1000</v>
      </c>
      <c r="I5" s="3">
        <f>C5+D5</f>
        <v>7000</v>
      </c>
      <c r="J5" s="3">
        <f>I5-H5</f>
        <v>6000</v>
      </c>
      <c r="K5" s="3" t="str">
        <f>IF(F5&gt;J5*10%,"over Deduct",IF(F5&lt;=J5*10%,"In Rang Deduct"))</f>
        <v>In Rang Deduct</v>
      </c>
      <c r="L5" s="1"/>
    </row>
    <row r="6" spans="1:12" x14ac:dyDescent="0.25">
      <c r="A6" s="3" t="s">
        <v>19</v>
      </c>
      <c r="B6" s="3" t="s">
        <v>24</v>
      </c>
      <c r="C6" s="3">
        <v>5000</v>
      </c>
      <c r="D6" s="3">
        <v>1200</v>
      </c>
      <c r="E6" s="3">
        <v>15</v>
      </c>
      <c r="F6" s="3">
        <f t="shared" ref="F6:F9" si="0">C6*E6%</f>
        <v>750</v>
      </c>
      <c r="G6" s="3">
        <v>500</v>
      </c>
      <c r="H6" s="3">
        <f t="shared" ref="H6:H9" si="1">F6+G6</f>
        <v>1250</v>
      </c>
      <c r="I6" s="3">
        <f t="shared" ref="I6:I9" si="2">C6+D6</f>
        <v>6200</v>
      </c>
      <c r="J6" s="3">
        <f t="shared" ref="J6:J9" si="3">I6-H6</f>
        <v>4950</v>
      </c>
      <c r="K6" s="3" t="str">
        <f t="shared" ref="K6:K9" si="4">IF(F6&gt;J6*10%,"over Deduct",IF(F6&lt;=J6*10%,"In Rang Deduct"))</f>
        <v>over Deduct</v>
      </c>
      <c r="L6" s="1"/>
    </row>
    <row r="7" spans="1:12" x14ac:dyDescent="0.25">
      <c r="A7" s="3" t="s">
        <v>20</v>
      </c>
      <c r="B7" s="3" t="s">
        <v>25</v>
      </c>
      <c r="C7" s="3">
        <v>4000</v>
      </c>
      <c r="D7" s="3">
        <v>1500</v>
      </c>
      <c r="E7" s="3">
        <v>20</v>
      </c>
      <c r="F7" s="3">
        <f t="shared" si="0"/>
        <v>800</v>
      </c>
      <c r="G7" s="3">
        <v>500</v>
      </c>
      <c r="H7" s="3">
        <f t="shared" si="1"/>
        <v>1300</v>
      </c>
      <c r="I7" s="3">
        <f t="shared" si="2"/>
        <v>5500</v>
      </c>
      <c r="J7" s="3">
        <f t="shared" si="3"/>
        <v>4200</v>
      </c>
      <c r="K7" s="3" t="str">
        <f t="shared" si="4"/>
        <v>over Deduct</v>
      </c>
      <c r="L7" s="1"/>
    </row>
    <row r="8" spans="1:12" x14ac:dyDescent="0.25">
      <c r="A8" s="3" t="s">
        <v>21</v>
      </c>
      <c r="B8" s="3" t="s">
        <v>26</v>
      </c>
      <c r="C8" s="3">
        <v>3000</v>
      </c>
      <c r="D8" s="3">
        <v>1000</v>
      </c>
      <c r="E8" s="3">
        <v>10</v>
      </c>
      <c r="F8" s="3">
        <f t="shared" si="0"/>
        <v>300</v>
      </c>
      <c r="G8" s="3">
        <v>500</v>
      </c>
      <c r="H8" s="3">
        <f t="shared" si="1"/>
        <v>800</v>
      </c>
      <c r="I8" s="3">
        <f t="shared" si="2"/>
        <v>4000</v>
      </c>
      <c r="J8" s="3">
        <f t="shared" si="3"/>
        <v>3200</v>
      </c>
      <c r="K8" s="3" t="str">
        <f t="shared" si="4"/>
        <v>In Rang Deduct</v>
      </c>
      <c r="L8" s="1"/>
    </row>
    <row r="9" spans="1:12" x14ac:dyDescent="0.25">
      <c r="A9" s="3" t="s">
        <v>22</v>
      </c>
      <c r="B9" s="3" t="s">
        <v>27</v>
      </c>
      <c r="C9" s="3">
        <v>8000</v>
      </c>
      <c r="D9" s="3">
        <v>500</v>
      </c>
      <c r="E9" s="3">
        <v>15</v>
      </c>
      <c r="F9" s="3">
        <f t="shared" si="0"/>
        <v>1200</v>
      </c>
      <c r="G9" s="3">
        <v>500</v>
      </c>
      <c r="H9" s="3">
        <f t="shared" si="1"/>
        <v>1700</v>
      </c>
      <c r="I9" s="3">
        <f t="shared" si="2"/>
        <v>8500</v>
      </c>
      <c r="J9" s="3">
        <f t="shared" si="3"/>
        <v>6800</v>
      </c>
      <c r="K9" s="3" t="str">
        <f t="shared" si="4"/>
        <v>over Deduct</v>
      </c>
      <c r="L9" s="1"/>
    </row>
    <row r="10" spans="1:12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6.25" x14ac:dyDescent="0.25">
      <c r="A11" s="5" t="s">
        <v>12</v>
      </c>
      <c r="B11" s="5" t="s">
        <v>13</v>
      </c>
      <c r="C11" s="6" t="s">
        <v>14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6" t="s">
        <v>30</v>
      </c>
      <c r="B12" s="6">
        <f>SUM(C5:C9)</f>
        <v>26000</v>
      </c>
      <c r="C12" s="6" t="str">
        <f>IF(OR(A12="Basic Salary",A12="Net Salary",A12="Allowance"),"Income","Expense")</f>
        <v>Income</v>
      </c>
      <c r="D12" s="1" t="s">
        <v>29</v>
      </c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6" t="s">
        <v>31</v>
      </c>
      <c r="B13" s="6">
        <f>SUM(D5:D9)</f>
        <v>5200</v>
      </c>
      <c r="C13" s="6" t="str">
        <f t="shared" ref="C13:C18" si="5">IF(OR(A13="Basic Salary",A13="Net Salary",A13="Allowance"),"Income","Expense")</f>
        <v>Income</v>
      </c>
      <c r="D13" s="1" t="s">
        <v>31</v>
      </c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6" t="s">
        <v>32</v>
      </c>
      <c r="B14" s="6">
        <f>SUM(I5:I9)</f>
        <v>31200</v>
      </c>
      <c r="C14" s="6" t="str">
        <f t="shared" si="5"/>
        <v>Expense</v>
      </c>
      <c r="D14" s="1" t="s">
        <v>32</v>
      </c>
      <c r="E14" s="1"/>
      <c r="F14" s="1"/>
      <c r="G14" s="33" t="s">
        <v>15</v>
      </c>
      <c r="H14" s="33"/>
      <c r="I14" s="1"/>
      <c r="J14" s="1"/>
      <c r="K14" s="1"/>
      <c r="L14" s="1"/>
    </row>
    <row r="15" spans="1:12" x14ac:dyDescent="0.25">
      <c r="A15" s="6" t="s">
        <v>33</v>
      </c>
      <c r="B15" s="6">
        <f>SUM(F5:F9)</f>
        <v>3650</v>
      </c>
      <c r="C15" s="6" t="str">
        <f t="shared" si="5"/>
        <v>Expense</v>
      </c>
      <c r="D15" s="1" t="s">
        <v>36</v>
      </c>
      <c r="E15" s="1"/>
      <c r="F15" s="1"/>
      <c r="G15" s="6" t="s">
        <v>16</v>
      </c>
      <c r="H15" s="6" t="s">
        <v>17</v>
      </c>
      <c r="I15" s="1"/>
      <c r="J15" s="1"/>
      <c r="K15" s="1"/>
      <c r="L15" s="1"/>
    </row>
    <row r="16" spans="1:12" x14ac:dyDescent="0.25">
      <c r="A16" s="6" t="s">
        <v>37</v>
      </c>
      <c r="B16" s="6">
        <f>SUM(G5:G9)</f>
        <v>2400</v>
      </c>
      <c r="C16" s="6" t="str">
        <f t="shared" si="5"/>
        <v>Expense</v>
      </c>
      <c r="D16" s="1" t="s">
        <v>36</v>
      </c>
      <c r="E16" s="1"/>
      <c r="F16" s="1"/>
      <c r="G16" s="1" t="s">
        <v>32</v>
      </c>
      <c r="H16" s="1">
        <f>VLOOKUP(G16,A12:B18,2,0)</f>
        <v>31200</v>
      </c>
      <c r="I16" s="1" t="s">
        <v>35</v>
      </c>
      <c r="J16" s="1">
        <f>VLOOKUP(I16,A12:B18,2,0)</f>
        <v>25150</v>
      </c>
      <c r="K16" s="1"/>
      <c r="L16" s="1"/>
    </row>
    <row r="17" spans="1:12" x14ac:dyDescent="0.25">
      <c r="A17" s="6" t="s">
        <v>34</v>
      </c>
      <c r="B17" s="6">
        <f>SUM(H5:H9)</f>
        <v>6050</v>
      </c>
      <c r="C17" s="6" t="str">
        <f t="shared" si="5"/>
        <v>Expense</v>
      </c>
      <c r="D17" s="1" t="s">
        <v>34</v>
      </c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6" t="s">
        <v>35</v>
      </c>
      <c r="B18" s="6">
        <f>SUM(J5:J9)</f>
        <v>25150</v>
      </c>
      <c r="C18" s="6" t="str">
        <f t="shared" si="5"/>
        <v>Income</v>
      </c>
      <c r="D18" s="1" t="s">
        <v>35</v>
      </c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6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</row>
  </sheetData>
  <autoFilter ref="A4:K4" xr:uid="{9F22867E-61C6-453C-9C20-B3E35CE79C45}"/>
  <mergeCells count="3">
    <mergeCell ref="A1:L1"/>
    <mergeCell ref="A2:L2"/>
    <mergeCell ref="G14:H14"/>
  </mergeCells>
  <conditionalFormatting sqref="K5:K9">
    <cfRule type="containsText" dxfId="5" priority="1" operator="containsText" text="Over Deduct">
      <formula>NOT(ISERROR(SEARCH("Over Deduct",K5)))</formula>
    </cfRule>
    <cfRule type="containsText" dxfId="4" priority="2" operator="containsText" text="In Rang Deduct">
      <formula>NOT(ISERROR(SEARCH("In Rang Deduct",K5)))</formula>
    </cfRule>
  </conditionalFormatting>
  <dataValidations count="4">
    <dataValidation type="list" allowBlank="1" showInputMessage="1" showErrorMessage="1" sqref="G16 I16" xr:uid="{81A1830A-42F8-4629-918A-CF259D70DBD8}">
      <formula1>$A$12:$A$18</formula1>
    </dataValidation>
    <dataValidation type="list" allowBlank="1" showInputMessage="1" showErrorMessage="1" sqref="D12:D18" xr:uid="{0D69648B-3FC9-4073-B23F-DFAA0C91F401}">
      <formula1>"Basic Salary,Allowance,Gross Salary,Tax deduct, Total Deduct,Net Salary"</formula1>
    </dataValidation>
    <dataValidation type="custom" allowBlank="1" showInputMessage="1" showErrorMessage="1" sqref="A12:A18" xr:uid="{ED48D500-6494-4E86-A43B-05B2F6DFBC38}">
      <formula1>OR(A12="Basic Salary",A12="Allowance",A12="Gross Salary",A12="Tax Deduct",A12="Loan Deduct",A12="Total Deduct",A12="Net Salary")</formula1>
    </dataValidation>
    <dataValidation type="custom" allowBlank="1" showInputMessage="1" showErrorMessage="1" sqref="A19" xr:uid="{78780C1B-33A7-4C7A-8A4D-F349B917AF34}">
      <formula1>OR(A19="Basic Salary",A19="Allowance",A19="Gross salary",A19="tax Deduct",A19="Loan Deduct",A19="Total Deduct",A19="Net Salary")</formula1>
    </dataValidation>
  </dataValidation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4308-EE0E-47E0-9D06-8AF8C07E503E}">
  <dimension ref="A1:S32"/>
  <sheetViews>
    <sheetView topLeftCell="A10" zoomScale="89" zoomScaleNormal="89" workbookViewId="0">
      <selection activeCell="P22" sqref="P22"/>
    </sheetView>
  </sheetViews>
  <sheetFormatPr defaultRowHeight="15" x14ac:dyDescent="0.25"/>
  <cols>
    <col min="1" max="1" width="11" customWidth="1"/>
    <col min="2" max="2" width="18" customWidth="1"/>
    <col min="3" max="3" width="18.28515625" customWidth="1"/>
    <col min="4" max="4" width="13.5703125" customWidth="1"/>
    <col min="5" max="5" width="15.7109375" customWidth="1"/>
    <col min="6" max="6" width="13.140625" customWidth="1"/>
    <col min="7" max="7" width="10.7109375" customWidth="1"/>
    <col min="9" max="13" width="0" hidden="1" customWidth="1"/>
  </cols>
  <sheetData>
    <row r="1" spans="1:18" ht="52.5" customHeight="1" x14ac:dyDescent="0.25">
      <c r="A1" s="38" t="s">
        <v>38</v>
      </c>
      <c r="B1" s="39"/>
      <c r="C1" s="39"/>
      <c r="D1" s="39"/>
      <c r="E1" s="39"/>
      <c r="F1" s="39"/>
      <c r="G1" s="39"/>
    </row>
    <row r="2" spans="1:18" x14ac:dyDescent="0.25">
      <c r="A2" s="8"/>
      <c r="B2" s="8"/>
      <c r="C2" s="8"/>
      <c r="D2" s="8"/>
      <c r="E2" s="8"/>
      <c r="F2" s="8"/>
      <c r="G2" s="8"/>
    </row>
    <row r="3" spans="1:18" ht="15.75" x14ac:dyDescent="0.25">
      <c r="A3" s="40" t="s">
        <v>39</v>
      </c>
      <c r="B3" s="40"/>
      <c r="C3" s="40"/>
      <c r="D3" s="40"/>
      <c r="E3" s="40"/>
      <c r="F3" s="40"/>
      <c r="G3" s="40"/>
    </row>
    <row r="4" spans="1:18" ht="15.75" x14ac:dyDescent="0.25">
      <c r="A4" s="9"/>
      <c r="B4" s="9"/>
      <c r="C4" s="9"/>
      <c r="D4" s="9"/>
      <c r="E4" s="9"/>
      <c r="F4" s="9"/>
      <c r="G4" s="9"/>
    </row>
    <row r="5" spans="1:18" ht="30" x14ac:dyDescent="0.25">
      <c r="A5" s="10" t="s">
        <v>40</v>
      </c>
      <c r="B5" s="10" t="s">
        <v>41</v>
      </c>
      <c r="C5" s="10" t="s">
        <v>42</v>
      </c>
      <c r="D5" s="10" t="s">
        <v>43</v>
      </c>
      <c r="E5" s="11" t="s">
        <v>44</v>
      </c>
      <c r="F5" s="10" t="s">
        <v>45</v>
      </c>
      <c r="G5" s="10" t="s">
        <v>46</v>
      </c>
      <c r="N5" s="34" t="s">
        <v>64</v>
      </c>
      <c r="O5" s="34"/>
    </row>
    <row r="6" spans="1:18" ht="15.75" x14ac:dyDescent="0.25">
      <c r="A6" s="12">
        <v>45444</v>
      </c>
      <c r="B6" s="13" t="s">
        <v>47</v>
      </c>
      <c r="C6" s="13" t="s">
        <v>53</v>
      </c>
      <c r="D6" s="13">
        <v>30000</v>
      </c>
      <c r="E6" s="14" t="str">
        <f>IF(G6:G14="INCOME","INCOME",IF(D6&gt;$C$16*20%,"OVER BUDGET",IF(D6&lt;$C$16*20%,"IN RANGE")))</f>
        <v>INCOME</v>
      </c>
      <c r="F6" s="14" t="str">
        <f t="shared" ref="F6:F14" si="0">IF(G6="INCOME","-",RANK(O6,$O$6:$O$14,0))</f>
        <v>-</v>
      </c>
      <c r="G6" s="13" t="str">
        <f>IF(B6="INCOME","INCOME","EXPENSE")</f>
        <v>INCOME</v>
      </c>
      <c r="H6" t="b">
        <f>OR(B6="INCOME",B6="HOUSING",B6="UTILITIES",B6="FOOD",B6="TRANSPORT",B6="ENTERTAINMENT",)</f>
        <v>1</v>
      </c>
      <c r="I6" s="18" t="s">
        <v>66</v>
      </c>
      <c r="J6" s="19"/>
      <c r="K6" s="19"/>
      <c r="L6" s="19"/>
      <c r="N6" s="7" t="str">
        <f t="shared" ref="N6:N14" si="1">IF(G6="EXPENSE",B6,"-")</f>
        <v>-</v>
      </c>
      <c r="O6" s="17" t="str">
        <f>IF(G6="EXPENSE",D6,"-")</f>
        <v>-</v>
      </c>
      <c r="P6" s="35" t="s">
        <v>65</v>
      </c>
      <c r="Q6" s="36"/>
      <c r="R6" s="36"/>
    </row>
    <row r="7" spans="1:18" ht="15.75" x14ac:dyDescent="0.25">
      <c r="A7" s="12">
        <v>45445</v>
      </c>
      <c r="B7" s="13" t="s">
        <v>48</v>
      </c>
      <c r="C7" s="13" t="s">
        <v>54</v>
      </c>
      <c r="D7" s="13">
        <v>12000</v>
      </c>
      <c r="E7" s="14" t="str">
        <f t="shared" ref="E7:E14" si="2">IF(G7:G15="INCOME","-",IF(D7&gt;$C$16*20%,"OVER BUDGET",IF(D7&lt;$C$16*20%,"IN RANGE")))</f>
        <v>OVER BUDGET</v>
      </c>
      <c r="F7" s="14">
        <f t="shared" si="0"/>
        <v>1</v>
      </c>
      <c r="G7" s="13" t="str">
        <f t="shared" ref="G7:G14" si="3">IF(B7="INCOME","INCOME","EXPENSE")</f>
        <v>EXPENSE</v>
      </c>
      <c r="I7" s="20"/>
      <c r="N7" s="7" t="str">
        <f t="shared" si="1"/>
        <v>HOUSING</v>
      </c>
      <c r="O7" s="17">
        <f t="shared" ref="O7:O14" si="4">IF(G7="EXPENSE",D7,"-")</f>
        <v>12000</v>
      </c>
    </row>
    <row r="8" spans="1:18" ht="15.75" x14ac:dyDescent="0.25">
      <c r="A8" s="12">
        <v>45293</v>
      </c>
      <c r="B8" s="13" t="s">
        <v>49</v>
      </c>
      <c r="C8" s="13" t="s">
        <v>55</v>
      </c>
      <c r="D8" s="13">
        <v>1100</v>
      </c>
      <c r="E8" s="14" t="str">
        <f t="shared" si="2"/>
        <v>IN RANGE</v>
      </c>
      <c r="F8" s="14">
        <f t="shared" si="0"/>
        <v>3</v>
      </c>
      <c r="G8" s="13" t="str">
        <f t="shared" si="3"/>
        <v>EXPENSE</v>
      </c>
      <c r="N8" s="7" t="str">
        <f t="shared" si="1"/>
        <v>UTILITIES</v>
      </c>
      <c r="O8" s="17">
        <f t="shared" si="4"/>
        <v>1100</v>
      </c>
      <c r="P8" t="s">
        <v>45</v>
      </c>
      <c r="Q8" s="13" t="s">
        <v>67</v>
      </c>
    </row>
    <row r="9" spans="1:18" ht="15.75" x14ac:dyDescent="0.25">
      <c r="A9" s="12">
        <v>45294</v>
      </c>
      <c r="B9" s="13" t="s">
        <v>50</v>
      </c>
      <c r="C9" s="13" t="s">
        <v>62</v>
      </c>
      <c r="D9" s="13">
        <v>600</v>
      </c>
      <c r="E9" s="14" t="str">
        <f t="shared" si="2"/>
        <v>IN RANGE</v>
      </c>
      <c r="F9" s="14">
        <f t="shared" si="0"/>
        <v>6</v>
      </c>
      <c r="G9" s="13" t="str">
        <f t="shared" si="3"/>
        <v>EXPENSE</v>
      </c>
      <c r="N9" s="7" t="str">
        <f t="shared" si="1"/>
        <v>FOOD</v>
      </c>
      <c r="O9" s="17">
        <f t="shared" si="4"/>
        <v>600</v>
      </c>
    </row>
    <row r="10" spans="1:18" ht="15.75" x14ac:dyDescent="0.25">
      <c r="A10" s="12">
        <v>45294</v>
      </c>
      <c r="B10" s="13" t="s">
        <v>50</v>
      </c>
      <c r="C10" s="13" t="s">
        <v>63</v>
      </c>
      <c r="D10" s="13">
        <v>1800</v>
      </c>
      <c r="E10" s="14" t="str">
        <f t="shared" si="2"/>
        <v>IN RANGE</v>
      </c>
      <c r="F10" s="14">
        <f t="shared" si="0"/>
        <v>2</v>
      </c>
      <c r="G10" s="13" t="str">
        <f t="shared" si="3"/>
        <v>EXPENSE</v>
      </c>
      <c r="N10" s="7" t="str">
        <f t="shared" si="1"/>
        <v>FOOD</v>
      </c>
      <c r="O10" s="17">
        <f t="shared" si="4"/>
        <v>1800</v>
      </c>
    </row>
    <row r="11" spans="1:18" ht="15.75" x14ac:dyDescent="0.25">
      <c r="A11" s="12">
        <v>45296</v>
      </c>
      <c r="B11" s="13" t="s">
        <v>49</v>
      </c>
      <c r="C11" s="13" t="s">
        <v>56</v>
      </c>
      <c r="D11" s="13">
        <v>500</v>
      </c>
      <c r="E11" s="14" t="str">
        <f t="shared" si="2"/>
        <v>IN RANGE</v>
      </c>
      <c r="F11" s="14">
        <f t="shared" si="0"/>
        <v>7</v>
      </c>
      <c r="G11" s="13" t="str">
        <f t="shared" si="3"/>
        <v>EXPENSE</v>
      </c>
      <c r="N11" s="7" t="str">
        <f t="shared" si="1"/>
        <v>UTILITIES</v>
      </c>
      <c r="O11" s="17">
        <f t="shared" si="4"/>
        <v>500</v>
      </c>
    </row>
    <row r="12" spans="1:18" ht="15.75" x14ac:dyDescent="0.25">
      <c r="A12" s="12">
        <v>45297</v>
      </c>
      <c r="B12" s="13" t="s">
        <v>51</v>
      </c>
      <c r="C12" s="13" t="s">
        <v>57</v>
      </c>
      <c r="D12" s="13">
        <v>700</v>
      </c>
      <c r="E12" s="14" t="str">
        <f t="shared" si="2"/>
        <v>IN RANGE</v>
      </c>
      <c r="F12" s="14">
        <f t="shared" si="0"/>
        <v>5</v>
      </c>
      <c r="G12" s="13" t="str">
        <f t="shared" si="3"/>
        <v>EXPENSE</v>
      </c>
      <c r="N12" s="7" t="str">
        <f t="shared" si="1"/>
        <v>TRANSPORT</v>
      </c>
      <c r="O12" s="17">
        <f t="shared" si="4"/>
        <v>700</v>
      </c>
    </row>
    <row r="13" spans="1:18" ht="15.75" x14ac:dyDescent="0.25">
      <c r="A13" s="12">
        <v>45298</v>
      </c>
      <c r="B13" s="13" t="s">
        <v>52</v>
      </c>
      <c r="C13" s="13" t="s">
        <v>58</v>
      </c>
      <c r="D13" s="13">
        <v>400</v>
      </c>
      <c r="E13" s="14" t="str">
        <f t="shared" si="2"/>
        <v>IN RANGE</v>
      </c>
      <c r="F13" s="14">
        <f t="shared" si="0"/>
        <v>8</v>
      </c>
      <c r="G13" s="13" t="str">
        <f t="shared" si="3"/>
        <v>EXPENSE</v>
      </c>
      <c r="N13" s="7" t="str">
        <f t="shared" si="1"/>
        <v>ENTERTAINMENT</v>
      </c>
      <c r="O13" s="17">
        <f t="shared" si="4"/>
        <v>400</v>
      </c>
    </row>
    <row r="14" spans="1:18" ht="15.75" x14ac:dyDescent="0.25">
      <c r="A14" s="12">
        <v>45299</v>
      </c>
      <c r="B14" s="13" t="s">
        <v>50</v>
      </c>
      <c r="C14" s="13" t="s">
        <v>62</v>
      </c>
      <c r="D14" s="13">
        <v>800</v>
      </c>
      <c r="E14" s="14" t="str">
        <f t="shared" si="2"/>
        <v>IN RANGE</v>
      </c>
      <c r="F14" s="14">
        <f t="shared" si="0"/>
        <v>4</v>
      </c>
      <c r="G14" s="13" t="str">
        <f t="shared" si="3"/>
        <v>EXPENSE</v>
      </c>
      <c r="N14" s="7" t="str">
        <f t="shared" si="1"/>
        <v>FOOD</v>
      </c>
      <c r="O14" s="17">
        <f t="shared" si="4"/>
        <v>800</v>
      </c>
    </row>
    <row r="15" spans="1:18" ht="15.75" x14ac:dyDescent="0.25">
      <c r="A15" s="15"/>
      <c r="B15" s="15"/>
      <c r="C15" s="15"/>
      <c r="D15" s="15"/>
      <c r="E15" s="15"/>
      <c r="F15" s="15"/>
      <c r="G15" s="15"/>
    </row>
    <row r="16" spans="1:18" ht="15.75" x14ac:dyDescent="0.25">
      <c r="A16" s="40" t="s">
        <v>60</v>
      </c>
      <c r="B16" s="40"/>
      <c r="C16" s="15">
        <f>SUMIF(G6:G14,"INCOME",D6:D14)</f>
        <v>30000</v>
      </c>
      <c r="D16" s="15"/>
      <c r="E16" s="15"/>
      <c r="F16" s="15"/>
      <c r="G16" s="15"/>
    </row>
    <row r="17" spans="1:19" ht="15.75" x14ac:dyDescent="0.25">
      <c r="A17" s="40" t="s">
        <v>59</v>
      </c>
      <c r="B17" s="40"/>
      <c r="C17" s="15">
        <f>SUMIF(G6:G14,"EXPENSE",D6:D14)</f>
        <v>17900</v>
      </c>
      <c r="D17" s="15"/>
      <c r="E17" s="15"/>
      <c r="F17" s="15"/>
      <c r="G17" s="15"/>
    </row>
    <row r="18" spans="1:19" ht="15.75" x14ac:dyDescent="0.25">
      <c r="A18" s="40" t="s">
        <v>61</v>
      </c>
      <c r="B18" s="40"/>
      <c r="C18" s="15">
        <f>C16-C17</f>
        <v>12100</v>
      </c>
      <c r="D18" s="15"/>
      <c r="E18" s="15"/>
      <c r="F18" s="15"/>
      <c r="G18" s="15"/>
    </row>
    <row r="19" spans="1:19" ht="15.75" x14ac:dyDescent="0.25">
      <c r="A19" s="16"/>
      <c r="B19" s="16"/>
      <c r="C19" s="16"/>
      <c r="D19" s="16"/>
      <c r="E19" s="16"/>
      <c r="F19" s="16"/>
      <c r="G19" s="16"/>
    </row>
    <row r="20" spans="1:19" ht="15.75" x14ac:dyDescent="0.25">
      <c r="A20" s="16"/>
      <c r="B20" s="16"/>
      <c r="C20" s="16"/>
      <c r="D20" s="16"/>
      <c r="E20" s="16"/>
      <c r="F20" s="16"/>
      <c r="G20" s="13"/>
    </row>
    <row r="21" spans="1:19" ht="15.75" x14ac:dyDescent="0.25">
      <c r="G21" s="13"/>
    </row>
    <row r="22" spans="1:19" ht="15.75" x14ac:dyDescent="0.25">
      <c r="B22" s="37" t="s">
        <v>68</v>
      </c>
      <c r="C22" s="37"/>
      <c r="D22" s="13" t="s">
        <v>47</v>
      </c>
      <c r="E22" s="7">
        <f>SUMIF($B$6:$B$14,D22,$D$6:$D$14)</f>
        <v>30000</v>
      </c>
      <c r="G22" s="13"/>
    </row>
    <row r="23" spans="1:19" ht="15.75" x14ac:dyDescent="0.25">
      <c r="B23" s="30" t="s">
        <v>50</v>
      </c>
      <c r="C23" s="30">
        <f>VLOOKUP(B23,$D$22:$E$27,2,0)</f>
        <v>3200</v>
      </c>
      <c r="D23" s="13" t="s">
        <v>48</v>
      </c>
      <c r="E23" s="7">
        <f t="shared" ref="E23:E27" si="5">SUMIF($B$6:$B$14,D23,$D$6:$D$14)</f>
        <v>12000</v>
      </c>
      <c r="G23" s="13"/>
    </row>
    <row r="24" spans="1:19" ht="15.75" x14ac:dyDescent="0.25">
      <c r="D24" s="13" t="s">
        <v>49</v>
      </c>
      <c r="E24" s="7">
        <f t="shared" si="5"/>
        <v>1600</v>
      </c>
      <c r="G24" s="13"/>
    </row>
    <row r="25" spans="1:19" ht="15.75" x14ac:dyDescent="0.25">
      <c r="D25" s="13" t="s">
        <v>50</v>
      </c>
      <c r="E25" s="7">
        <f t="shared" si="5"/>
        <v>3200</v>
      </c>
      <c r="G25" s="13"/>
    </row>
    <row r="26" spans="1:19" ht="15.75" x14ac:dyDescent="0.25">
      <c r="D26" s="13" t="s">
        <v>51</v>
      </c>
      <c r="E26" s="7">
        <f t="shared" si="5"/>
        <v>700</v>
      </c>
    </row>
    <row r="27" spans="1:19" ht="15.75" x14ac:dyDescent="0.25">
      <c r="D27" s="13" t="s">
        <v>52</v>
      </c>
      <c r="E27" s="7">
        <f t="shared" si="5"/>
        <v>400</v>
      </c>
      <c r="S27" s="13" t="s">
        <v>47</v>
      </c>
    </row>
    <row r="28" spans="1:19" ht="15.75" x14ac:dyDescent="0.25">
      <c r="S28" s="13" t="s">
        <v>48</v>
      </c>
    </row>
    <row r="29" spans="1:19" ht="15.75" x14ac:dyDescent="0.25">
      <c r="C29" s="7"/>
      <c r="S29" s="13" t="s">
        <v>49</v>
      </c>
    </row>
    <row r="30" spans="1:19" ht="15.75" x14ac:dyDescent="0.25">
      <c r="S30" s="13" t="s">
        <v>50</v>
      </c>
    </row>
    <row r="31" spans="1:19" ht="15.75" x14ac:dyDescent="0.25">
      <c r="S31" s="13" t="s">
        <v>51</v>
      </c>
    </row>
    <row r="32" spans="1:19" ht="15.75" x14ac:dyDescent="0.25">
      <c r="S32" s="13" t="s">
        <v>52</v>
      </c>
    </row>
  </sheetData>
  <mergeCells count="8">
    <mergeCell ref="N5:O5"/>
    <mergeCell ref="P6:R6"/>
    <mergeCell ref="B22:C22"/>
    <mergeCell ref="A1:G1"/>
    <mergeCell ref="A3:G3"/>
    <mergeCell ref="A16:B16"/>
    <mergeCell ref="A17:B17"/>
    <mergeCell ref="A18:B18"/>
  </mergeCells>
  <phoneticPr fontId="1" type="noConversion"/>
  <conditionalFormatting sqref="G6:G14">
    <cfRule type="containsText" dxfId="3" priority="5" operator="containsText" text="EXPENSE">
      <formula>NOT(ISERROR(SEARCH("EXPENSE",G6)))</formula>
    </cfRule>
    <cfRule type="containsText" dxfId="2" priority="6" operator="containsText" text="INCOME">
      <formula>NOT(ISERROR(SEARCH("INCOME",G6)))</formula>
    </cfRule>
  </conditionalFormatting>
  <conditionalFormatting sqref="I6:L6">
    <cfRule type="containsText" dxfId="1" priority="1" operator="containsText" text="EXPENSE">
      <formula>NOT(ISERROR(SEARCH("EXPENSE",I6)))</formula>
    </cfRule>
    <cfRule type="containsText" dxfId="0" priority="2" operator="containsText" text="INCOME">
      <formula>NOT(ISERROR(SEARCH("INCOME",I6)))</formula>
    </cfRule>
  </conditionalFormatting>
  <dataValidations count="3">
    <dataValidation type="custom" allowBlank="1" showInputMessage="1" showErrorMessage="1" sqref="B6:B14 S27:S32 D22:D27 G20:G25" xr:uid="{534AA14F-FC88-4C25-9786-181E43A869F0}">
      <formula1>OR(B6="INCOME",B6="HOUSING",B6="UTILITIES",B6="FOOD",B6="TRANSPORT",B6="ENTERTAINMENT")</formula1>
    </dataValidation>
    <dataValidation type="custom" allowBlank="1" showInputMessage="1" showErrorMessage="1" sqref="H9:H16" xr:uid="{9E6493D1-AEB0-4BD8-B187-223CECEEAAC4}">
      <formula1>OR(B6="INCOME",B6="HOUSING",B6="UTILITIES",B6="FOOD",B6="TRANSPORT",B6="ENTERTAINMENT",)</formula1>
    </dataValidation>
    <dataValidation type="list" allowBlank="1" showInputMessage="1" showErrorMessage="1" sqref="B23" xr:uid="{8D73DCB0-FE57-49E4-AA83-CB8848702A2A}">
      <formula1>$D$22:$D$27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896D-30D5-4437-AF06-9C5824B1A327}">
  <dimension ref="A1:I27"/>
  <sheetViews>
    <sheetView topLeftCell="A11" workbookViewId="0">
      <selection activeCell="F21" sqref="F21"/>
    </sheetView>
  </sheetViews>
  <sheetFormatPr defaultRowHeight="15" x14ac:dyDescent="0.25"/>
  <cols>
    <col min="1" max="1" width="5.42578125" customWidth="1"/>
    <col min="2" max="2" width="23" customWidth="1"/>
    <col min="3" max="3" width="22.85546875" customWidth="1"/>
    <col min="4" max="4" width="23" customWidth="1"/>
    <col min="5" max="5" width="20.28515625" customWidth="1"/>
    <col min="6" max="6" width="26.5703125" customWidth="1"/>
    <col min="7" max="7" width="11" bestFit="1" customWidth="1"/>
  </cols>
  <sheetData>
    <row r="1" spans="1:9" ht="111.75" customHeight="1" x14ac:dyDescent="0.25">
      <c r="A1" s="50" t="s">
        <v>69</v>
      </c>
      <c r="B1" s="51"/>
      <c r="C1" s="51"/>
      <c r="D1" s="51"/>
      <c r="E1" s="51"/>
      <c r="F1" s="52"/>
    </row>
    <row r="2" spans="1:9" ht="18.75" x14ac:dyDescent="0.3">
      <c r="A2" s="53" t="s">
        <v>70</v>
      </c>
      <c r="B2" s="54"/>
      <c r="C2" s="54"/>
      <c r="D2" s="54"/>
      <c r="E2" s="54"/>
      <c r="F2" s="55"/>
    </row>
    <row r="3" spans="1:9" x14ac:dyDescent="0.25">
      <c r="A3" s="56" t="s">
        <v>71</v>
      </c>
      <c r="B3" s="57"/>
      <c r="C3" s="57"/>
      <c r="D3" s="57"/>
      <c r="E3" s="57"/>
      <c r="F3" s="58"/>
    </row>
    <row r="4" spans="1:9" x14ac:dyDescent="0.25">
      <c r="A4" s="56" t="s">
        <v>72</v>
      </c>
      <c r="B4" s="58"/>
      <c r="C4" s="7"/>
      <c r="D4" s="7"/>
      <c r="E4" s="7" t="s">
        <v>80</v>
      </c>
      <c r="F4" s="24">
        <f ca="1">NOW()</f>
        <v>46141.660257060183</v>
      </c>
    </row>
    <row r="5" spans="1:9" x14ac:dyDescent="0.25">
      <c r="A5" s="56" t="s">
        <v>73</v>
      </c>
      <c r="B5" s="58"/>
      <c r="C5" s="7"/>
      <c r="D5" s="7"/>
      <c r="E5" s="7" t="s">
        <v>81</v>
      </c>
      <c r="F5" s="23" t="s">
        <v>99</v>
      </c>
    </row>
    <row r="6" spans="1:9" ht="37.5" x14ac:dyDescent="0.3">
      <c r="A6" s="21" t="s">
        <v>74</v>
      </c>
      <c r="B6" s="22" t="s">
        <v>75</v>
      </c>
      <c r="C6" s="22" t="s">
        <v>76</v>
      </c>
      <c r="D6" s="22" t="s">
        <v>77</v>
      </c>
      <c r="E6" s="22" t="s">
        <v>78</v>
      </c>
      <c r="F6" s="22" t="s">
        <v>79</v>
      </c>
    </row>
    <row r="7" spans="1:9" x14ac:dyDescent="0.25">
      <c r="A7" s="23" t="s">
        <v>82</v>
      </c>
      <c r="B7" s="7" t="s">
        <v>92</v>
      </c>
      <c r="C7" s="7" t="s">
        <v>101</v>
      </c>
      <c r="D7" s="25">
        <v>12</v>
      </c>
      <c r="E7" s="26">
        <v>50000</v>
      </c>
      <c r="F7" s="28">
        <f>E7*D7</f>
        <v>600000</v>
      </c>
    </row>
    <row r="8" spans="1:9" x14ac:dyDescent="0.25">
      <c r="A8" s="23" t="s">
        <v>83</v>
      </c>
      <c r="B8" s="7" t="s">
        <v>100</v>
      </c>
      <c r="C8" s="7" t="s">
        <v>102</v>
      </c>
      <c r="D8" s="25">
        <v>15</v>
      </c>
      <c r="E8" s="26">
        <v>10000</v>
      </c>
      <c r="F8" s="28">
        <f t="shared" ref="F8:F13" si="0">E8*D8</f>
        <v>150000</v>
      </c>
    </row>
    <row r="9" spans="1:9" x14ac:dyDescent="0.25">
      <c r="A9" s="23" t="s">
        <v>84</v>
      </c>
      <c r="B9" s="7" t="s">
        <v>93</v>
      </c>
      <c r="C9" s="7" t="s">
        <v>103</v>
      </c>
      <c r="D9" s="25">
        <v>50</v>
      </c>
      <c r="E9" s="26">
        <v>500</v>
      </c>
      <c r="F9" s="28">
        <f t="shared" si="0"/>
        <v>25000</v>
      </c>
    </row>
    <row r="10" spans="1:9" x14ac:dyDescent="0.25">
      <c r="A10" s="23" t="s">
        <v>85</v>
      </c>
      <c r="B10" s="7" t="s">
        <v>94</v>
      </c>
      <c r="C10" s="7" t="s">
        <v>104</v>
      </c>
      <c r="D10" s="25">
        <v>20</v>
      </c>
      <c r="E10" s="26">
        <v>800</v>
      </c>
      <c r="F10" s="28">
        <f t="shared" si="0"/>
        <v>16000</v>
      </c>
    </row>
    <row r="11" spans="1:9" x14ac:dyDescent="0.25">
      <c r="A11" s="23" t="s">
        <v>86</v>
      </c>
      <c r="B11" s="7" t="s">
        <v>95</v>
      </c>
      <c r="C11" s="7" t="s">
        <v>105</v>
      </c>
      <c r="D11" s="25">
        <v>10</v>
      </c>
      <c r="E11" s="26">
        <v>2500</v>
      </c>
      <c r="F11" s="28">
        <f t="shared" si="0"/>
        <v>25000</v>
      </c>
    </row>
    <row r="12" spans="1:9" x14ac:dyDescent="0.25">
      <c r="A12" s="23" t="s">
        <v>87</v>
      </c>
      <c r="B12" s="7" t="s">
        <v>96</v>
      </c>
      <c r="C12" s="7" t="s">
        <v>106</v>
      </c>
      <c r="D12" s="25">
        <v>15</v>
      </c>
      <c r="E12" s="26">
        <v>2500</v>
      </c>
      <c r="F12" s="28">
        <f t="shared" si="0"/>
        <v>37500</v>
      </c>
    </row>
    <row r="13" spans="1:9" x14ac:dyDescent="0.25">
      <c r="A13" s="23" t="s">
        <v>88</v>
      </c>
      <c r="B13" s="7" t="s">
        <v>97</v>
      </c>
      <c r="C13" s="7" t="s">
        <v>107</v>
      </c>
      <c r="D13" s="25">
        <v>10</v>
      </c>
      <c r="E13" s="26">
        <v>2000</v>
      </c>
      <c r="F13" s="28">
        <f t="shared" si="0"/>
        <v>20000</v>
      </c>
      <c r="I13" t="b">
        <f>AND(COUNTIF($B$7:$B$14,$B$7)=1,LEN(B7)=6)</f>
        <v>1</v>
      </c>
    </row>
    <row r="14" spans="1:9" x14ac:dyDescent="0.25">
      <c r="A14" s="23" t="s">
        <v>89</v>
      </c>
      <c r="B14" s="7" t="s">
        <v>98</v>
      </c>
      <c r="C14" s="7"/>
      <c r="D14" s="25"/>
      <c r="E14" s="27"/>
      <c r="F14" s="28"/>
    </row>
    <row r="15" spans="1:9" x14ac:dyDescent="0.25">
      <c r="A15" s="23" t="s">
        <v>90</v>
      </c>
      <c r="B15" s="7"/>
      <c r="C15" s="7"/>
      <c r="D15" s="25"/>
      <c r="E15" s="27"/>
      <c r="F15" s="7"/>
    </row>
    <row r="16" spans="1:9" x14ac:dyDescent="0.25">
      <c r="A16" s="23" t="s">
        <v>91</v>
      </c>
      <c r="B16" s="7"/>
      <c r="C16" s="7"/>
      <c r="D16" s="25"/>
      <c r="E16" s="27"/>
      <c r="F16" s="7"/>
    </row>
    <row r="17" spans="1:6" x14ac:dyDescent="0.25">
      <c r="A17" s="41" t="s">
        <v>112</v>
      </c>
      <c r="B17" s="42"/>
      <c r="C17" s="42"/>
      <c r="D17" s="43"/>
      <c r="E17" s="7" t="s">
        <v>108</v>
      </c>
      <c r="F17" s="29">
        <f>SUM(F7:F13)</f>
        <v>873500</v>
      </c>
    </row>
    <row r="18" spans="1:6" x14ac:dyDescent="0.25">
      <c r="A18" s="44"/>
      <c r="B18" s="45"/>
      <c r="C18" s="45"/>
      <c r="D18" s="46"/>
      <c r="E18" s="7" t="s">
        <v>109</v>
      </c>
      <c r="F18" s="7">
        <f>IF(F17&gt;500000,F17*9%,IF(F17&gt;300000,F17*3%,IF(F17&lt;300000,F17*1%)))</f>
        <v>78615</v>
      </c>
    </row>
    <row r="19" spans="1:6" x14ac:dyDescent="0.25">
      <c r="A19" s="44"/>
      <c r="B19" s="45"/>
      <c r="C19" s="45"/>
      <c r="D19" s="46"/>
      <c r="E19" s="7" t="s">
        <v>110</v>
      </c>
      <c r="F19" s="29">
        <f>F17*3%</f>
        <v>26205</v>
      </c>
    </row>
    <row r="20" spans="1:6" x14ac:dyDescent="0.25">
      <c r="A20" s="47"/>
      <c r="B20" s="48"/>
      <c r="C20" s="48"/>
      <c r="D20" s="49"/>
      <c r="E20" s="7" t="s">
        <v>111</v>
      </c>
      <c r="F20" s="29">
        <f>F17+F19-F18</f>
        <v>821090</v>
      </c>
    </row>
    <row r="21" spans="1:6" x14ac:dyDescent="0.25">
      <c r="A21" s="23"/>
      <c r="B21" s="7"/>
      <c r="C21" s="7"/>
      <c r="D21" s="7"/>
      <c r="E21" s="7"/>
      <c r="F21" s="7"/>
    </row>
    <row r="23" spans="1:6" x14ac:dyDescent="0.25">
      <c r="C23" t="s">
        <v>113</v>
      </c>
    </row>
    <row r="24" spans="1:6" ht="37.5" x14ac:dyDescent="0.3">
      <c r="A24" s="21" t="s">
        <v>74</v>
      </c>
      <c r="B24" s="22" t="s">
        <v>75</v>
      </c>
      <c r="C24" s="22" t="s">
        <v>76</v>
      </c>
      <c r="D24" s="22" t="s">
        <v>77</v>
      </c>
      <c r="E24" s="22" t="s">
        <v>78</v>
      </c>
      <c r="F24" s="22" t="s">
        <v>79</v>
      </c>
    </row>
    <row r="25" spans="1:6" x14ac:dyDescent="0.25">
      <c r="A25" s="7"/>
      <c r="B25" s="7" t="s">
        <v>92</v>
      </c>
      <c r="C25" s="7" t="s">
        <v>101</v>
      </c>
      <c r="D25" s="7"/>
      <c r="E25" s="7">
        <f>INDEX(E7:E16,MATCH(C25,C7:C16,0))</f>
        <v>50000</v>
      </c>
      <c r="F25" s="7"/>
    </row>
    <row r="27" spans="1:6" x14ac:dyDescent="0.25">
      <c r="F27" t="s">
        <v>114</v>
      </c>
    </row>
  </sheetData>
  <mergeCells count="6">
    <mergeCell ref="A17:D20"/>
    <mergeCell ref="A1:F1"/>
    <mergeCell ref="A2:F2"/>
    <mergeCell ref="A3:F3"/>
    <mergeCell ref="A4:B4"/>
    <mergeCell ref="A5:B5"/>
  </mergeCells>
  <phoneticPr fontId="1" type="noConversion"/>
  <dataValidations count="5">
    <dataValidation type="textLength" operator="equal" allowBlank="1" showInputMessage="1" showErrorMessage="1" sqref="F5" xr:uid="{A6DD8A0C-8529-44CD-A22D-B21BFFE40F52}">
      <formula1>11</formula1>
    </dataValidation>
    <dataValidation type="custom" allowBlank="1" showInputMessage="1" showErrorMessage="1" sqref="B7:B16" xr:uid="{2A3DC1FA-EA37-4F86-911E-6862AE770952}">
      <formula1>AND(COUNTIF($B$7:$B$14,$B$7)=1,LEN(B7)=6)</formula1>
    </dataValidation>
    <dataValidation type="list" allowBlank="1" showInputMessage="1" showErrorMessage="1" sqref="C7:C14" xr:uid="{011468FF-521C-4199-BE0A-887C938EF916}">
      <formula1>"Laptop,Monitor,Mouse,Keyborad,SSD,RAM,Casing"</formula1>
    </dataValidation>
    <dataValidation type="list" allowBlank="1" showInputMessage="1" showErrorMessage="1" sqref="C25" xr:uid="{9CEF7A0E-6F39-495F-9AF8-8448A772180D}">
      <formula1>$C$7:$C$13</formula1>
    </dataValidation>
    <dataValidation type="list" allowBlank="1" showInputMessage="1" showErrorMessage="1" sqref="B25" xr:uid="{95581109-61BB-4D39-BD57-170977F8C961}">
      <formula1>$B$7:$B$14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SalarySheet</vt:lpstr>
      <vt:lpstr>filter</vt:lpstr>
      <vt:lpstr>Sheet1 (4)</vt:lpstr>
      <vt:lpstr>Sheet1 (3)</vt:lpstr>
      <vt:lpstr>Sheet1 (2)</vt:lpstr>
      <vt:lpstr>Monthly Budget Tracker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IIST</dc:creator>
  <cp:lastModifiedBy>shohan</cp:lastModifiedBy>
  <cp:lastPrinted>2026-01-18T09:18:38Z</cp:lastPrinted>
  <dcterms:created xsi:type="dcterms:W3CDTF">2015-06-05T18:17:20Z</dcterms:created>
  <dcterms:modified xsi:type="dcterms:W3CDTF">2026-04-29T10:25:21Z</dcterms:modified>
</cp:coreProperties>
</file>